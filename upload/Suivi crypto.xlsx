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3"/>
  <workbookPr/>
  <mc:AlternateContent xmlns:mc="http://schemas.openxmlformats.org/markup-compatibility/2006">
    <mc:Choice Requires="x15">
      <x15ac:absPath xmlns:x15ac="http://schemas.microsoft.com/office/spreadsheetml/2010/11/ac" url="G:\Mon Drive\"/>
    </mc:Choice>
  </mc:AlternateContent>
  <xr:revisionPtr revIDLastSave="0" documentId="13_ncr:1_{C63475F9-7FFC-4D0E-AB38-2B0370CE3627}" xr6:coauthVersionLast="47" xr6:coauthVersionMax="47" xr10:uidLastSave="{00000000-0000-0000-0000-000000000000}"/>
  <bookViews>
    <workbookView xWindow="-120" yWindow="-120" windowWidth="20730" windowHeight="11040" tabRatio="753" activeTab="1" xr2:uid="{00000000-000D-0000-FFFF-FFFF00000000}"/>
  </bookViews>
  <sheets>
    <sheet name="BDD" sheetId="11" r:id="rId1"/>
    <sheet name="T.BORD" sheetId="14" r:id="rId2"/>
    <sheet name="pricemulti_fsyms=BTC,ETH,SO (2)" sheetId="65" r:id="rId3"/>
    <sheet name="Feuil1" sheetId="15" r:id="rId4"/>
  </sheets>
  <definedNames>
    <definedName name="DonnéesExternes_1" localSheetId="2" hidden="1">'pricemulti_fsyms=BTC,ETH,SO (2)'!$A$1:$B$43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4" l="1"/>
  <c r="D39" i="14"/>
  <c r="D25" i="14"/>
  <c r="D35" i="14"/>
  <c r="F12" i="11"/>
  <c r="F45" i="11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6" i="14"/>
  <c r="F44" i="11"/>
  <c r="F13" i="11"/>
  <c r="F32" i="11"/>
  <c r="D11" i="15"/>
  <c r="D7" i="15"/>
  <c r="F43" i="11"/>
  <c r="F42" i="11"/>
  <c r="F41" i="11"/>
  <c r="F40" i="11"/>
  <c r="F39" i="11"/>
  <c r="F38" i="11"/>
  <c r="F37" i="11"/>
  <c r="F36" i="11"/>
  <c r="F35" i="11"/>
  <c r="F34" i="11"/>
  <c r="F33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1" i="11"/>
  <c r="F10" i="11"/>
  <c r="F9" i="11"/>
  <c r="F8" i="11"/>
  <c r="F7" i="11"/>
  <c r="F6" i="11"/>
  <c r="F5" i="11"/>
  <c r="F4" i="11"/>
  <c r="F3" i="11"/>
  <c r="B6" i="14" a="1"/>
  <c r="C24" i="14" s="1"/>
  <c r="D46" i="14" l="1"/>
  <c r="G46" i="14" s="1"/>
  <c r="D22" i="14"/>
  <c r="D47" i="14"/>
  <c r="G47" i="14" s="1"/>
  <c r="C47" i="14"/>
  <c r="C46" i="14"/>
  <c r="E46" i="14" s="1"/>
  <c r="D13" i="14"/>
  <c r="D15" i="15"/>
  <c r="C10" i="14"/>
  <c r="D38" i="14"/>
  <c r="D20" i="14"/>
  <c r="D45" i="14"/>
  <c r="G45" i="14" s="1"/>
  <c r="D34" i="14"/>
  <c r="D44" i="14"/>
  <c r="G44" i="14" s="1"/>
  <c r="C45" i="14"/>
  <c r="D9" i="14"/>
  <c r="D8" i="14"/>
  <c r="D16" i="14"/>
  <c r="D30" i="14"/>
  <c r="D17" i="14"/>
  <c r="D23" i="14"/>
  <c r="D11" i="14"/>
  <c r="D15" i="14"/>
  <c r="D33" i="14"/>
  <c r="D18" i="14"/>
  <c r="D14" i="14"/>
  <c r="D24" i="14"/>
  <c r="E24" i="14" s="1"/>
  <c r="G43" i="14"/>
  <c r="C44" i="14"/>
  <c r="C9" i="14"/>
  <c r="C15" i="14"/>
  <c r="C21" i="14"/>
  <c r="E21" i="14" s="1"/>
  <c r="C17" i="14"/>
  <c r="C41" i="14"/>
  <c r="E41" i="14" s="1"/>
  <c r="C37" i="14"/>
  <c r="E37" i="14" s="1"/>
  <c r="C33" i="14"/>
  <c r="C29" i="14"/>
  <c r="E29" i="14" s="1"/>
  <c r="C25" i="14"/>
  <c r="C11" i="14"/>
  <c r="C13" i="14"/>
  <c r="C19" i="14"/>
  <c r="C43" i="14"/>
  <c r="E43" i="14" s="1"/>
  <c r="C39" i="14"/>
  <c r="E39" i="14" s="1"/>
  <c r="C35" i="14"/>
  <c r="E35" i="14" s="1"/>
  <c r="C31" i="14"/>
  <c r="C27" i="14"/>
  <c r="C16" i="14"/>
  <c r="C22" i="14"/>
  <c r="C18" i="14"/>
  <c r="C42" i="14"/>
  <c r="C38" i="14"/>
  <c r="C34" i="14"/>
  <c r="C30" i="14"/>
  <c r="C26" i="14"/>
  <c r="E26" i="14" s="1"/>
  <c r="C8" i="14"/>
  <c r="C14" i="14"/>
  <c r="C20" i="14"/>
  <c r="C40" i="14"/>
  <c r="E40" i="14" s="1"/>
  <c r="C36" i="14"/>
  <c r="E36" i="14" s="1"/>
  <c r="C32" i="14"/>
  <c r="E32" i="14" s="1"/>
  <c r="C28" i="14"/>
  <c r="E28" i="14" s="1"/>
  <c r="B6" i="14"/>
  <c r="D7" i="14"/>
  <c r="C12" i="14"/>
  <c r="C7" i="14"/>
  <c r="D12" i="14"/>
  <c r="C23" i="14"/>
  <c r="E47" i="14" l="1"/>
  <c r="I46" i="14"/>
  <c r="H46" i="14"/>
  <c r="H47" i="14"/>
  <c r="I47" i="14"/>
  <c r="E15" i="14"/>
  <c r="E34" i="14"/>
  <c r="E8" i="14"/>
  <c r="E38" i="14"/>
  <c r="E20" i="14"/>
  <c r="E30" i="14"/>
  <c r="E9" i="14"/>
  <c r="E11" i="14"/>
  <c r="E25" i="14"/>
  <c r="E45" i="14"/>
  <c r="I45" i="14"/>
  <c r="H44" i="14"/>
  <c r="E17" i="14"/>
  <c r="E22" i="14"/>
  <c r="E14" i="14"/>
  <c r="H45" i="14"/>
  <c r="E33" i="14"/>
  <c r="I44" i="14"/>
  <c r="I43" i="14"/>
  <c r="H43" i="14"/>
  <c r="E44" i="14"/>
  <c r="E7" i="14"/>
  <c r="E42" i="14"/>
  <c r="E27" i="14"/>
  <c r="E31" i="14"/>
  <c r="E19" i="14"/>
  <c r="E18" i="14"/>
  <c r="E23" i="14"/>
  <c r="E12" i="14"/>
  <c r="E16" i="14"/>
  <c r="G42" i="14"/>
  <c r="I42" i="14" s="1"/>
  <c r="E10" i="14"/>
  <c r="E13" i="14"/>
  <c r="H42" i="14" l="1"/>
  <c r="G32" i="14"/>
  <c r="G15" i="14"/>
  <c r="G38" i="14"/>
  <c r="G41" i="14"/>
  <c r="G34" i="14"/>
  <c r="G31" i="14"/>
  <c r="G26" i="14"/>
  <c r="G23" i="14"/>
  <c r="G20" i="14"/>
  <c r="G8" i="14"/>
  <c r="G35" i="14"/>
  <c r="G21" i="14"/>
  <c r="G9" i="14"/>
  <c r="G29" i="14"/>
  <c r="G22" i="14"/>
  <c r="G33" i="14"/>
  <c r="G12" i="14"/>
  <c r="G14" i="14"/>
  <c r="G25" i="14"/>
  <c r="G27" i="14"/>
  <c r="G28" i="14"/>
  <c r="G11" i="14"/>
  <c r="G7" i="14"/>
  <c r="G13" i="14"/>
  <c r="G16" i="14"/>
  <c r="G30" i="14"/>
  <c r="G40" i="14"/>
  <c r="G19" i="14"/>
  <c r="G17" i="14"/>
  <c r="G39" i="14"/>
  <c r="G18" i="14"/>
  <c r="G37" i="14"/>
  <c r="G36" i="14"/>
  <c r="G10" i="14"/>
  <c r="C6" i="14" l="1"/>
  <c r="D6" i="14"/>
  <c r="G6" i="14" s="1"/>
  <c r="H41" i="14"/>
  <c r="I41" i="14"/>
  <c r="I40" i="14"/>
  <c r="H40" i="14"/>
  <c r="J19" i="14"/>
  <c r="I28" i="14"/>
  <c r="H28" i="14"/>
  <c r="G24" i="14"/>
  <c r="I24" i="14" s="1"/>
  <c r="H23" i="14"/>
  <c r="I23" i="14"/>
  <c r="I20" i="14"/>
  <c r="H20" i="14"/>
  <c r="I17" i="14"/>
  <c r="H17" i="14"/>
  <c r="I37" i="14"/>
  <c r="H37" i="14"/>
  <c r="I8" i="14"/>
  <c r="H8" i="14"/>
  <c r="H12" i="14"/>
  <c r="I12" i="14"/>
  <c r="H10" i="14"/>
  <c r="I10" i="14"/>
  <c r="I38" i="14"/>
  <c r="H38" i="14"/>
  <c r="H11" i="14"/>
  <c r="I11" i="14"/>
  <c r="H14" i="14"/>
  <c r="I14" i="14"/>
  <c r="H27" i="14"/>
  <c r="I27" i="14"/>
  <c r="H9" i="14"/>
  <c r="I9" i="14"/>
  <c r="I26" i="14"/>
  <c r="H26" i="14"/>
  <c r="I32" i="14"/>
  <c r="H32" i="14"/>
  <c r="H16" i="14"/>
  <c r="I16" i="14"/>
  <c r="H39" i="14"/>
  <c r="I39" i="14"/>
  <c r="I35" i="14"/>
  <c r="H35" i="14"/>
  <c r="H29" i="14"/>
  <c r="I29" i="14"/>
  <c r="I30" i="14"/>
  <c r="H30" i="14"/>
  <c r="I25" i="14"/>
  <c r="H25" i="14"/>
  <c r="I36" i="14"/>
  <c r="H36" i="14"/>
  <c r="I15" i="14"/>
  <c r="H15" i="14"/>
  <c r="I18" i="14"/>
  <c r="H7" i="14"/>
  <c r="I7" i="14"/>
  <c r="I34" i="14"/>
  <c r="H34" i="14"/>
  <c r="H21" i="14"/>
  <c r="I21" i="14"/>
  <c r="I22" i="14"/>
  <c r="H22" i="14"/>
  <c r="H13" i="14"/>
  <c r="I13" i="14"/>
  <c r="I33" i="14"/>
  <c r="H33" i="14"/>
  <c r="I19" i="14"/>
  <c r="H19" i="14"/>
  <c r="H31" i="14"/>
  <c r="I31" i="14"/>
  <c r="H18" i="14"/>
  <c r="F3" i="14" l="1"/>
  <c r="E6" i="14"/>
  <c r="H24" i="14"/>
  <c r="H6" i="14"/>
  <c r="I6" i="14"/>
  <c r="C3" i="14"/>
  <c r="I3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1CB04-BC7F-44B3-A6AC-E9DB1BE7C93B}" keepAlive="1" name="Requête - pricemulti?fsyms=BTC,ETH,SOL,BNB,ZEC,XRP,DOGE,ZEN,SUI,TAO,ADA,LINK,AVAX,XPL, (2)" description="Connexion à la requête « pricemulti?fsyms=BTC,ETH,SOL,BNB,ZEC,XRP,DOGE,ZEN,SUI,TAO,ADA,LINK,AVAX,XPL, (2) » dans le classeur." type="5" refreshedVersion="8" background="1" saveData="1">
    <dbPr connection="Provider=Microsoft.Mashup.OleDb.1;Data Source=$Workbook$;Location=&quot;pricemulti?fsyms=BTC,ETH,SOL,BNB,ZEC,XRP,DOGE,ZEN,SUI,TAO,ADA,LINK,AVAX,XPL, (2)&quot;;Extended Properties=&quot;&quot;" command="SELECT * FROM [pricemulti?fsyms=BTC,ETH,SOL,BNB,ZEC,XRP,DOGE,ZEN,SUI,TAO,ADA,LINK,AVAX,XPL,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<sst xmlns="http://schemas.openxmlformats.org/spreadsheetml/2006/main" count="151" uniqueCount="64">
  <si>
    <t>DATE</t>
  </si>
  <si>
    <t>TOKEN</t>
  </si>
  <si>
    <t>COURS (usd)</t>
  </si>
  <si>
    <t>QUANTITE</t>
  </si>
  <si>
    <t>EXCHANGE</t>
  </si>
  <si>
    <t>BTC</t>
  </si>
  <si>
    <t>SOL</t>
  </si>
  <si>
    <t>INVESTISSEMENT</t>
  </si>
  <si>
    <t>VALEUR PF NR</t>
  </si>
  <si>
    <t>RENTABILITE</t>
  </si>
  <si>
    <t>MONTANT INVESTI</t>
  </si>
  <si>
    <t>QUANTITE ACHETEE</t>
  </si>
  <si>
    <t>PRU</t>
  </si>
  <si>
    <t>COURS ACTUEL</t>
  </si>
  <si>
    <t>P/L</t>
  </si>
  <si>
    <t>ETH</t>
  </si>
  <si>
    <t>BINANCE</t>
  </si>
  <si>
    <t>M. NON REALISES</t>
  </si>
  <si>
    <t>GRT</t>
  </si>
  <si>
    <t>TIA</t>
  </si>
  <si>
    <t>WLD</t>
  </si>
  <si>
    <t>LINK</t>
  </si>
  <si>
    <t>INJ</t>
  </si>
  <si>
    <t>ILV</t>
  </si>
  <si>
    <t>BNB</t>
  </si>
  <si>
    <t>TAO</t>
  </si>
  <si>
    <t>ATOM</t>
  </si>
  <si>
    <t>AR</t>
  </si>
  <si>
    <t>AAVE</t>
  </si>
  <si>
    <t>ADA</t>
  </si>
  <si>
    <t>XRP</t>
  </si>
  <si>
    <t>Name</t>
  </si>
  <si>
    <t>Value.USD</t>
  </si>
  <si>
    <t>DOGE</t>
  </si>
  <si>
    <t>NEAR</t>
  </si>
  <si>
    <t>MONTANT</t>
  </si>
  <si>
    <t>AXL</t>
  </si>
  <si>
    <t>PYTH</t>
  </si>
  <si>
    <t>QTUM</t>
  </si>
  <si>
    <t>NMR</t>
  </si>
  <si>
    <t>RENDER</t>
  </si>
  <si>
    <t>VIRTUAL</t>
  </si>
  <si>
    <t>PERTES</t>
  </si>
  <si>
    <t>TOTAL</t>
  </si>
  <si>
    <t>NOUVEAUX</t>
  </si>
  <si>
    <t>PENGU</t>
  </si>
  <si>
    <t>SUI</t>
  </si>
  <si>
    <t>WLFI</t>
  </si>
  <si>
    <t>ONDO</t>
  </si>
  <si>
    <t>AVAX</t>
  </si>
  <si>
    <t>PUMP</t>
  </si>
  <si>
    <t>ARB</t>
  </si>
  <si>
    <t>PEPE</t>
  </si>
  <si>
    <t>ZEC</t>
  </si>
  <si>
    <t>ZEN</t>
  </si>
  <si>
    <t>XPL</t>
  </si>
  <si>
    <t>ENA</t>
  </si>
  <si>
    <t>W</t>
  </si>
  <si>
    <t>QNT</t>
  </si>
  <si>
    <t>LTC</t>
  </si>
  <si>
    <t>FET</t>
  </si>
  <si>
    <t>ANKR</t>
  </si>
  <si>
    <t>RSR</t>
  </si>
  <si>
    <t>06/05/202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</si>
</sst>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.00"/>
    <numFmt numFmtId="165" formatCode="#,##0.00000"/>
    <numFmt numFmtId="166" formatCode="#,##0.0000"/>
    <numFmt numFmtId="167" formatCode="#,##0.000000"/>
    <numFmt numFmtId="168" formatCode="#,##0.000"/>
    <numFmt numFmtId="169" formatCode="#,##0.0"/>
    <numFmt numFmtId="170" formatCode="#,##0.00000000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2"/>
      <color theme="1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theme="5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  <font>
      <b/>
      <sz val="14"/>
      <color theme="1"/>
      <name val="#44 Font Expanded"/>
    </font>
    <font>
      <sz val="11"/>
      <color theme="1"/>
      <name val="A750-Sans-Medium"/>
    </font>
    <font>
      <b/>
      <sz val="14"/>
      <color theme="1"/>
      <name val="A750-Sans-Medium"/>
    </font>
    <font>
      <b/>
      <i/>
      <sz val="12"/>
      <color theme="1"/>
      <name val="A750-Sans-Medium"/>
    </font>
    <font>
      <i/>
      <sz val="12"/>
      <color theme="1"/>
      <name val="A750-Sans-Medium"/>
    </font>
    <font>
      <b/>
      <sz val="12"/>
      <color theme="1"/>
      <name val="A750-Sans-Medium"/>
    </font>
    <font>
      <b/>
      <sz val="14"/>
      <color theme="0"/>
      <name val="#44 Font Expanded"/>
    </font>
    <font>
      <b/>
      <sz val="18"/>
      <color theme="4" tint="-0.249977111117893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20"/>
      <color theme="1"/>
      <name val="#44 Font Italic"/>
    </font>
    <font>
      <b/>
      <sz val="18"/>
      <color rgb="FF009B2E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6"/>
      <color theme="1"/>
      <name val="Calibri"/>
      <family val="2"/>
    </font>
    <font>
      <b/>
      <sz val="14"/>
      <color rgb="FFFFFFFF"/>
      <name val="Calibri"/>
      <family val="2"/>
    </font>
    <font>
      <b/>
      <sz val="12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C189F7"/>
        <bgColor rgb="FFC189F7"/>
      </patternFill>
    </fill>
    <fill>
      <patternFill patternType="solid">
        <fgColor rgb="FFDEEAF6"/>
        <bgColor rgb="FFDEEAF6"/>
      </patternFill>
    </fill>
    <fill>
      <patternFill patternType="solid">
        <fgColor rgb="FFFF7474"/>
        <bgColor rgb="FFFF7474"/>
      </patternFill>
    </fill>
    <fill>
      <patternFill patternType="solid">
        <fgColor rgb="FFAAE571"/>
        <bgColor rgb="FFAAE571"/>
      </patternFill>
    </fill>
    <fill>
      <patternFill patternType="solid">
        <fgColor rgb="FF7CEB99"/>
        <bgColor rgb="FF7CEB99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EB89DD"/>
        <bgColor rgb="FFEB89DD"/>
      </patternFill>
    </fill>
    <fill>
      <patternFill patternType="solid">
        <fgColor rgb="FFFFFF00"/>
        <bgColor rgb="FFFFFF00"/>
      </patternFill>
    </fill>
    <fill>
      <patternFill patternType="solid">
        <fgColor rgb="FFF6C3FF"/>
        <bgColor rgb="FFF6C3FF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A3DBFF"/>
        <bgColor rgb="FFA3DBFF"/>
      </patternFill>
    </fill>
    <fill>
      <patternFill patternType="solid">
        <fgColor rgb="FF909EE6"/>
        <bgColor rgb="FF909EE6"/>
      </patternFill>
    </fill>
    <fill>
      <patternFill patternType="solid">
        <fgColor rgb="FF9CC2E5"/>
        <bgColor rgb="FF9CC2E5"/>
      </patternFill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385623"/>
        <bgColor rgb="FF385623"/>
      </patternFill>
    </fill>
    <fill>
      <patternFill patternType="solid">
        <fgColor theme="3" tint="0.59999389629810485"/>
        <bgColor rgb="FFFFD965"/>
      </patternFill>
    </fill>
    <fill>
      <patternFill patternType="solid">
        <fgColor theme="9" tint="0.59999389629810485"/>
        <bgColor rgb="FFFFD9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" fontId="10" fillId="15" borderId="1" xfId="0" applyNumberFormat="1" applyFont="1" applyFill="1" applyBorder="1" applyAlignment="1">
      <alignment horizontal="center" vertical="center"/>
    </xf>
    <xf numFmtId="10" fontId="8" fillId="17" borderId="1" xfId="0" applyNumberFormat="1" applyFont="1" applyFill="1" applyBorder="1" applyAlignment="1">
      <alignment horizontal="center" vertical="center"/>
    </xf>
    <xf numFmtId="4" fontId="8" fillId="18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165" fontId="5" fillId="20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0" fillId="21" borderId="0" xfId="0" applyFill="1"/>
    <xf numFmtId="0" fontId="3" fillId="21" borderId="0" xfId="0" applyFont="1" applyFill="1"/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 applyProtection="1">
      <alignment horizontal="center" vertical="center"/>
      <protection locked="0"/>
    </xf>
    <xf numFmtId="167" fontId="4" fillId="7" borderId="0" xfId="0" applyNumberFormat="1" applyFont="1" applyFill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14" borderId="0" xfId="0" applyNumberFormat="1" applyFont="1" applyFill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0" fillId="0" borderId="0" xfId="0" applyNumberFormat="1"/>
    <xf numFmtId="0" fontId="13" fillId="0" borderId="0" xfId="0" applyFont="1"/>
    <xf numFmtId="0" fontId="14" fillId="0" borderId="0" xfId="0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167" fontId="15" fillId="5" borderId="0" xfId="0" applyNumberFormat="1" applyFont="1" applyFill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4" fontId="6" fillId="14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/>
    </xf>
    <xf numFmtId="168" fontId="11" fillId="14" borderId="1" xfId="0" applyNumberFormat="1" applyFont="1" applyFill="1" applyBorder="1" applyAlignment="1">
      <alignment horizontal="center" vertical="center"/>
    </xf>
    <xf numFmtId="168" fontId="9" fillId="14" borderId="1" xfId="0" applyNumberFormat="1" applyFont="1" applyFill="1" applyBorder="1" applyAlignment="1">
      <alignment horizontal="center" vertical="center"/>
    </xf>
    <xf numFmtId="4" fontId="10" fillId="14" borderId="1" xfId="0" applyNumberFormat="1" applyFont="1" applyFill="1" applyBorder="1" applyAlignment="1">
      <alignment horizontal="center" vertical="center"/>
    </xf>
    <xf numFmtId="4" fontId="8" fillId="14" borderId="1" xfId="0" applyNumberFormat="1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168" fontId="4" fillId="14" borderId="1" xfId="0" applyNumberFormat="1" applyFont="1" applyFill="1" applyBorder="1" applyAlignment="1">
      <alignment horizontal="center" vertical="center"/>
    </xf>
    <xf numFmtId="4" fontId="4" fillId="14" borderId="1" xfId="0" applyNumberFormat="1" applyFont="1" applyFill="1" applyBorder="1" applyAlignment="1">
      <alignment horizontal="center" vertical="center"/>
    </xf>
    <xf numFmtId="10" fontId="4" fillId="14" borderId="1" xfId="0" applyNumberFormat="1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165" fontId="4" fillId="21" borderId="0" xfId="0" applyNumberFormat="1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167" fontId="4" fillId="21" borderId="0" xfId="0" applyNumberFormat="1" applyFont="1" applyFill="1" applyAlignment="1">
      <alignment horizontal="center" vertical="center"/>
    </xf>
    <xf numFmtId="10" fontId="8" fillId="21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165" fontId="7" fillId="21" borderId="1" xfId="0" applyNumberFormat="1" applyFont="1" applyFill="1" applyBorder="1" applyAlignment="1">
      <alignment horizontal="center" vertical="center"/>
    </xf>
    <xf numFmtId="168" fontId="11" fillId="21" borderId="1" xfId="0" applyNumberFormat="1" applyFont="1" applyFill="1" applyBorder="1" applyAlignment="1">
      <alignment horizontal="center" vertical="center"/>
    </xf>
    <xf numFmtId="4" fontId="10" fillId="21" borderId="1" xfId="0" applyNumberFormat="1" applyFont="1" applyFill="1" applyBorder="1" applyAlignment="1">
      <alignment horizontal="center" vertical="center"/>
    </xf>
    <xf numFmtId="4" fontId="8" fillId="21" borderId="1" xfId="0" applyNumberFormat="1" applyFont="1" applyFill="1" applyBorder="1" applyAlignment="1">
      <alignment horizontal="center" vertical="center"/>
    </xf>
    <xf numFmtId="166" fontId="10" fillId="15" borderId="1" xfId="0" applyNumberFormat="1" applyFont="1" applyFill="1" applyBorder="1" applyAlignment="1">
      <alignment horizontal="center" vertical="center"/>
    </xf>
    <xf numFmtId="4" fontId="19" fillId="16" borderId="1" xfId="0" applyNumberFormat="1" applyFont="1" applyFill="1" applyBorder="1" applyAlignment="1">
      <alignment horizontal="center" vertical="center"/>
    </xf>
    <xf numFmtId="165" fontId="20" fillId="12" borderId="1" xfId="0" applyNumberFormat="1" applyFont="1" applyFill="1" applyBorder="1" applyAlignment="1">
      <alignment horizontal="center" vertical="center"/>
    </xf>
    <xf numFmtId="4" fontId="22" fillId="22" borderId="1" xfId="0" applyNumberFormat="1" applyFont="1" applyFill="1" applyBorder="1" applyAlignment="1">
      <alignment horizontal="center" vertical="center"/>
    </xf>
    <xf numFmtId="166" fontId="22" fillId="22" borderId="1" xfId="0" applyNumberFormat="1" applyFont="1" applyFill="1" applyBorder="1" applyAlignment="1">
      <alignment horizontal="center" vertical="center"/>
    </xf>
    <xf numFmtId="165" fontId="22" fillId="22" borderId="1" xfId="0" applyNumberFormat="1" applyFont="1" applyFill="1" applyBorder="1" applyAlignment="1">
      <alignment horizontal="center" vertical="center"/>
    </xf>
    <xf numFmtId="167" fontId="22" fillId="22" borderId="1" xfId="0" applyNumberFormat="1" applyFont="1" applyFill="1" applyBorder="1" applyAlignment="1">
      <alignment horizontal="center" vertical="center"/>
    </xf>
    <xf numFmtId="170" fontId="22" fillId="22" borderId="1" xfId="0" applyNumberFormat="1" applyFont="1" applyFill="1" applyBorder="1" applyAlignment="1">
      <alignment horizontal="center" vertical="center"/>
    </xf>
    <xf numFmtId="14" fontId="17" fillId="23" borderId="0" xfId="0" applyNumberFormat="1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167" fontId="14" fillId="23" borderId="0" xfId="0" applyNumberFormat="1" applyFont="1" applyFill="1" applyAlignment="1">
      <alignment horizontal="center" vertical="center"/>
    </xf>
    <xf numFmtId="0" fontId="23" fillId="24" borderId="0" xfId="0" applyFont="1" applyFill="1"/>
    <xf numFmtId="14" fontId="17" fillId="25" borderId="0" xfId="0" applyNumberFormat="1" applyFont="1" applyFill="1" applyAlignment="1">
      <alignment horizontal="center" vertical="center"/>
    </xf>
    <xf numFmtId="0" fontId="14" fillId="25" borderId="0" xfId="0" applyFont="1" applyFill="1" applyAlignment="1">
      <alignment horizontal="center" vertical="center"/>
    </xf>
    <xf numFmtId="167" fontId="14" fillId="25" borderId="0" xfId="0" applyNumberFormat="1" applyFont="1" applyFill="1" applyAlignment="1">
      <alignment horizontal="center" vertical="center"/>
    </xf>
    <xf numFmtId="14" fontId="17" fillId="26" borderId="0" xfId="0" applyNumberFormat="1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168" fontId="14" fillId="26" borderId="0" xfId="0" applyNumberFormat="1" applyFont="1" applyFill="1" applyAlignment="1">
      <alignment horizontal="center" vertical="center"/>
    </xf>
    <xf numFmtId="14" fontId="17" fillId="27" borderId="0" xfId="0" applyNumberFormat="1" applyFont="1" applyFill="1" applyAlignment="1">
      <alignment horizontal="center" vertical="center"/>
    </xf>
    <xf numFmtId="0" fontId="14" fillId="27" borderId="0" xfId="0" applyFont="1" applyFill="1" applyAlignment="1">
      <alignment horizontal="center" vertical="center"/>
    </xf>
    <xf numFmtId="166" fontId="14" fillId="27" borderId="0" xfId="0" applyNumberFormat="1" applyFont="1" applyFill="1" applyAlignment="1">
      <alignment horizontal="center" vertical="center"/>
    </xf>
    <xf numFmtId="14" fontId="17" fillId="28" borderId="0" xfId="0" applyNumberFormat="1" applyFont="1" applyFill="1" applyAlignment="1">
      <alignment horizontal="center" vertical="center"/>
    </xf>
    <xf numFmtId="0" fontId="14" fillId="28" borderId="0" xfId="0" applyFont="1" applyFill="1" applyAlignment="1">
      <alignment horizontal="center" vertical="center"/>
    </xf>
    <xf numFmtId="165" fontId="14" fillId="28" borderId="0" xfId="0" applyNumberFormat="1" applyFont="1" applyFill="1" applyAlignment="1">
      <alignment horizontal="center" vertical="center"/>
    </xf>
    <xf numFmtId="14" fontId="17" fillId="29" borderId="0" xfId="0" applyNumberFormat="1" applyFont="1" applyFill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169" fontId="14" fillId="29" borderId="0" xfId="0" applyNumberFormat="1" applyFont="1" applyFill="1" applyAlignment="1">
      <alignment horizontal="center" vertical="center"/>
    </xf>
    <xf numFmtId="4" fontId="14" fillId="27" borderId="0" xfId="0" applyNumberFormat="1" applyFont="1" applyFill="1" applyAlignment="1">
      <alignment horizontal="center" vertical="center"/>
    </xf>
    <xf numFmtId="14" fontId="17" fillId="30" borderId="0" xfId="0" applyNumberFormat="1" applyFont="1" applyFill="1" applyAlignment="1">
      <alignment horizontal="center" vertical="center"/>
    </xf>
    <xf numFmtId="0" fontId="14" fillId="30" borderId="0" xfId="0" applyFont="1" applyFill="1" applyAlignment="1">
      <alignment horizontal="center" vertical="center"/>
    </xf>
    <xf numFmtId="166" fontId="14" fillId="30" borderId="0" xfId="0" applyNumberFormat="1" applyFont="1" applyFill="1" applyAlignment="1">
      <alignment horizontal="center" vertical="center"/>
    </xf>
    <xf numFmtId="168" fontId="14" fillId="27" borderId="0" xfId="0" applyNumberFormat="1" applyFont="1" applyFill="1" applyAlignment="1">
      <alignment horizontal="center" vertical="center"/>
    </xf>
    <xf numFmtId="4" fontId="14" fillId="25" borderId="0" xfId="0" applyNumberFormat="1" applyFont="1" applyFill="1" applyAlignment="1">
      <alignment horizontal="center" vertical="center"/>
    </xf>
    <xf numFmtId="168" fontId="14" fillId="25" borderId="0" xfId="0" applyNumberFormat="1" applyFont="1" applyFill="1" applyAlignment="1">
      <alignment horizontal="center" vertical="center"/>
    </xf>
    <xf numFmtId="14" fontId="17" fillId="31" borderId="0" xfId="0" applyNumberFormat="1" applyFont="1" applyFill="1" applyAlignment="1">
      <alignment horizontal="center" vertical="center"/>
    </xf>
    <xf numFmtId="0" fontId="14" fillId="31" borderId="0" xfId="0" applyFont="1" applyFill="1" applyAlignment="1">
      <alignment horizontal="center" vertical="center"/>
    </xf>
    <xf numFmtId="168" fontId="14" fillId="31" borderId="0" xfId="0" applyNumberFormat="1" applyFont="1" applyFill="1" applyAlignment="1">
      <alignment horizontal="center" vertical="center"/>
    </xf>
    <xf numFmtId="14" fontId="17" fillId="32" borderId="0" xfId="0" applyNumberFormat="1" applyFont="1" applyFill="1" applyAlignment="1">
      <alignment horizontal="center" vertical="center"/>
    </xf>
    <xf numFmtId="0" fontId="14" fillId="32" borderId="0" xfId="0" applyFont="1" applyFill="1" applyAlignment="1">
      <alignment horizontal="center" vertical="center"/>
    </xf>
    <xf numFmtId="168" fontId="14" fillId="32" borderId="0" xfId="0" applyNumberFormat="1" applyFont="1" applyFill="1" applyAlignment="1">
      <alignment horizontal="center" vertical="center"/>
    </xf>
    <xf numFmtId="14" fontId="17" fillId="33" borderId="0" xfId="0" applyNumberFormat="1" applyFont="1" applyFill="1" applyAlignment="1">
      <alignment horizontal="center" vertical="center"/>
    </xf>
    <xf numFmtId="0" fontId="14" fillId="33" borderId="0" xfId="0" applyFont="1" applyFill="1" applyAlignment="1">
      <alignment horizontal="center" vertical="center"/>
    </xf>
    <xf numFmtId="168" fontId="14" fillId="33" borderId="0" xfId="0" applyNumberFormat="1" applyFont="1" applyFill="1" applyAlignment="1">
      <alignment horizontal="center" vertical="center"/>
    </xf>
    <xf numFmtId="14" fontId="17" fillId="34" borderId="0" xfId="0" applyNumberFormat="1" applyFont="1" applyFill="1" applyAlignment="1">
      <alignment horizontal="center" vertical="center"/>
    </xf>
    <xf numFmtId="0" fontId="14" fillId="34" borderId="0" xfId="0" applyFont="1" applyFill="1" applyAlignment="1">
      <alignment horizontal="center" vertical="center"/>
    </xf>
    <xf numFmtId="168" fontId="14" fillId="34" borderId="0" xfId="0" applyNumberFormat="1" applyFont="1" applyFill="1" applyAlignment="1">
      <alignment horizontal="center" vertical="center"/>
    </xf>
    <xf numFmtId="165" fontId="14" fillId="23" borderId="0" xfId="0" applyNumberFormat="1" applyFont="1" applyFill="1" applyAlignment="1">
      <alignment horizontal="center" vertical="center"/>
    </xf>
    <xf numFmtId="14" fontId="17" fillId="35" borderId="0" xfId="0" applyNumberFormat="1" applyFont="1" applyFill="1" applyAlignment="1">
      <alignment horizontal="center" vertical="center"/>
    </xf>
    <xf numFmtId="0" fontId="14" fillId="35" borderId="0" xfId="0" applyFont="1" applyFill="1" applyAlignment="1">
      <alignment horizontal="center" vertical="center"/>
    </xf>
    <xf numFmtId="167" fontId="14" fillId="35" borderId="0" xfId="0" applyNumberFormat="1" applyFont="1" applyFill="1" applyAlignment="1">
      <alignment horizontal="center" vertical="center"/>
    </xf>
    <xf numFmtId="4" fontId="14" fillId="33" borderId="0" xfId="0" applyNumberFormat="1" applyFont="1" applyFill="1" applyAlignment="1">
      <alignment horizontal="center" vertical="center"/>
    </xf>
    <xf numFmtId="4" fontId="14" fillId="23" borderId="0" xfId="0" applyNumberFormat="1" applyFont="1" applyFill="1" applyAlignment="1">
      <alignment horizontal="center" vertical="center"/>
    </xf>
    <xf numFmtId="14" fontId="17" fillId="36" borderId="0" xfId="0" applyNumberFormat="1" applyFont="1" applyFill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4" fontId="14" fillId="36" borderId="0" xfId="0" applyNumberFormat="1" applyFont="1" applyFill="1" applyAlignment="1">
      <alignment horizontal="center" vertical="center"/>
    </xf>
    <xf numFmtId="14" fontId="17" fillId="37" borderId="0" xfId="0" applyNumberFormat="1" applyFont="1" applyFill="1" applyAlignment="1">
      <alignment horizontal="center" vertical="center"/>
    </xf>
    <xf numFmtId="0" fontId="14" fillId="37" borderId="0" xfId="0" applyFont="1" applyFill="1" applyAlignment="1">
      <alignment horizontal="center" vertical="center"/>
    </xf>
    <xf numFmtId="3" fontId="14" fillId="37" borderId="0" xfId="0" applyNumberFormat="1" applyFont="1" applyFill="1" applyAlignment="1">
      <alignment horizontal="center" vertical="center"/>
    </xf>
    <xf numFmtId="14" fontId="17" fillId="38" borderId="0" xfId="0" applyNumberFormat="1" applyFont="1" applyFill="1" applyAlignment="1">
      <alignment horizontal="center" vertical="center"/>
    </xf>
    <xf numFmtId="0" fontId="14" fillId="38" borderId="0" xfId="0" applyFont="1" applyFill="1" applyAlignment="1">
      <alignment horizontal="center" vertical="center"/>
    </xf>
    <xf numFmtId="166" fontId="14" fillId="38" borderId="0" xfId="0" applyNumberFormat="1" applyFont="1" applyFill="1" applyAlignment="1">
      <alignment horizontal="center" vertical="center"/>
    </xf>
    <xf numFmtId="169" fontId="14" fillId="23" borderId="0" xfId="0" applyNumberFormat="1" applyFont="1" applyFill="1" applyAlignment="1">
      <alignment horizontal="center" vertical="center"/>
    </xf>
    <xf numFmtId="14" fontId="17" fillId="39" borderId="0" xfId="0" applyNumberFormat="1" applyFont="1" applyFill="1" applyAlignment="1">
      <alignment horizontal="center" vertical="center"/>
    </xf>
    <xf numFmtId="0" fontId="14" fillId="39" borderId="0" xfId="0" applyFont="1" applyFill="1" applyAlignment="1">
      <alignment horizontal="center" vertical="center"/>
    </xf>
    <xf numFmtId="167" fontId="14" fillId="39" borderId="0" xfId="0" applyNumberFormat="1" applyFont="1" applyFill="1" applyAlignment="1">
      <alignment horizontal="center" vertical="center"/>
    </xf>
    <xf numFmtId="167" fontId="14" fillId="27" borderId="0" xfId="0" applyNumberFormat="1" applyFont="1" applyFill="1" applyAlignment="1">
      <alignment horizontal="center" vertical="center"/>
    </xf>
    <xf numFmtId="167" fontId="14" fillId="26" borderId="0" xfId="0" applyNumberFormat="1" applyFont="1" applyFill="1" applyAlignment="1">
      <alignment horizontal="center" vertical="center"/>
    </xf>
    <xf numFmtId="14" fontId="17" fillId="40" borderId="0" xfId="0" applyNumberFormat="1" applyFont="1" applyFill="1" applyAlignment="1">
      <alignment horizontal="center" vertical="center"/>
    </xf>
    <xf numFmtId="0" fontId="14" fillId="40" borderId="0" xfId="0" applyFont="1" applyFill="1" applyAlignment="1">
      <alignment horizontal="center" vertical="center"/>
    </xf>
    <xf numFmtId="167" fontId="14" fillId="40" borderId="0" xfId="0" applyNumberFormat="1" applyFont="1" applyFill="1" applyAlignment="1">
      <alignment horizontal="center" vertical="center"/>
    </xf>
    <xf numFmtId="168" fontId="14" fillId="23" borderId="0" xfId="0" applyNumberFormat="1" applyFont="1" applyFill="1" applyAlignment="1">
      <alignment horizontal="center" vertical="center"/>
    </xf>
    <xf numFmtId="166" fontId="14" fillId="36" borderId="0" xfId="0" applyNumberFormat="1" applyFont="1" applyFill="1" applyAlignment="1">
      <alignment horizontal="center" vertical="center"/>
    </xf>
    <xf numFmtId="14" fontId="17" fillId="41" borderId="0" xfId="0" applyNumberFormat="1" applyFont="1" applyFill="1" applyAlignment="1">
      <alignment horizontal="center" vertical="center"/>
    </xf>
    <xf numFmtId="0" fontId="14" fillId="41" borderId="0" xfId="0" applyFont="1" applyFill="1" applyAlignment="1">
      <alignment horizontal="center" vertical="center"/>
    </xf>
    <xf numFmtId="166" fontId="14" fillId="41" borderId="0" xfId="0" applyNumberFormat="1" applyFont="1" applyFill="1" applyAlignment="1">
      <alignment horizontal="center" vertical="center"/>
    </xf>
    <xf numFmtId="14" fontId="17" fillId="42" borderId="0" xfId="0" applyNumberFormat="1" applyFont="1" applyFill="1" applyAlignment="1">
      <alignment horizontal="center" vertical="center"/>
    </xf>
    <xf numFmtId="0" fontId="14" fillId="42" borderId="0" xfId="0" applyFont="1" applyFill="1" applyAlignment="1">
      <alignment horizontal="center" vertical="center"/>
    </xf>
    <xf numFmtId="166" fontId="14" fillId="42" borderId="0" xfId="0" applyNumberFormat="1" applyFont="1" applyFill="1" applyAlignment="1">
      <alignment horizontal="center" vertical="center"/>
    </xf>
    <xf numFmtId="165" fontId="14" fillId="32" borderId="0" xfId="0" applyNumberFormat="1" applyFont="1" applyFill="1" applyAlignment="1">
      <alignment horizontal="center" vertical="center"/>
    </xf>
    <xf numFmtId="14" fontId="17" fillId="43" borderId="0" xfId="0" applyNumberFormat="1" applyFont="1" applyFill="1" applyAlignment="1">
      <alignment horizontal="center" vertical="center"/>
    </xf>
    <xf numFmtId="0" fontId="14" fillId="43" borderId="0" xfId="0" applyFont="1" applyFill="1" applyAlignment="1">
      <alignment horizontal="center" vertical="center"/>
    </xf>
    <xf numFmtId="167" fontId="14" fillId="43" borderId="0" xfId="0" applyNumberFormat="1" applyFont="1" applyFill="1" applyAlignment="1">
      <alignment horizontal="center" vertical="center"/>
    </xf>
    <xf numFmtId="14" fontId="17" fillId="44" borderId="0" xfId="0" applyNumberFormat="1" applyFont="1" applyFill="1" applyAlignment="1">
      <alignment horizontal="center" vertical="center"/>
    </xf>
    <xf numFmtId="0" fontId="14" fillId="44" borderId="0" xfId="0" applyFont="1" applyFill="1" applyAlignment="1">
      <alignment horizontal="center" vertical="center"/>
    </xf>
    <xf numFmtId="167" fontId="14" fillId="44" borderId="0" xfId="0" applyNumberFormat="1" applyFont="1" applyFill="1" applyAlignment="1">
      <alignment horizontal="center" vertical="center"/>
    </xf>
    <xf numFmtId="4" fontId="14" fillId="38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45" borderId="0" xfId="0" applyFont="1" applyFill="1" applyAlignment="1">
      <alignment horizontal="center" vertical="center"/>
    </xf>
    <xf numFmtId="0" fontId="24" fillId="46" borderId="0" xfId="0" applyFont="1" applyFill="1" applyAlignment="1">
      <alignment horizontal="center" vertical="center"/>
    </xf>
    <xf numFmtId="0" fontId="24" fillId="45" borderId="0" xfId="0" applyFont="1" applyFill="1" applyAlignment="1">
      <alignment horizontal="center"/>
    </xf>
    <xf numFmtId="0" fontId="18" fillId="47" borderId="0" xfId="0" applyFont="1" applyFill="1" applyAlignment="1">
      <alignment horizontal="center" vertical="center"/>
    </xf>
    <xf numFmtId="0" fontId="25" fillId="23" borderId="0" xfId="0" applyFont="1" applyFill="1" applyAlignment="1">
      <alignment horizontal="center" vertical="center"/>
    </xf>
    <xf numFmtId="0" fontId="26" fillId="46" borderId="0" xfId="0" applyFont="1" applyFill="1" applyAlignment="1">
      <alignment horizontal="center" vertical="center"/>
    </xf>
    <xf numFmtId="0" fontId="18" fillId="46" borderId="0" xfId="0" applyFont="1" applyFill="1" applyAlignment="1">
      <alignment horizontal="center" vertical="center"/>
    </xf>
    <xf numFmtId="0" fontId="25" fillId="43" borderId="0" xfId="0" applyFont="1" applyFill="1" applyAlignment="1">
      <alignment horizontal="center" vertical="center"/>
    </xf>
    <xf numFmtId="0" fontId="18" fillId="48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0" fontId="19" fillId="16" borderId="1" xfId="0" applyNumberFormat="1" applyFont="1" applyFill="1" applyBorder="1" applyAlignment="1">
      <alignment horizontal="center" vertical="center"/>
    </xf>
    <xf numFmtId="166" fontId="19" fillId="16" borderId="1" xfId="0" applyNumberFormat="1" applyFont="1" applyFill="1" applyBorder="1" applyAlignment="1">
      <alignment horizontal="center" vertical="center"/>
    </xf>
    <xf numFmtId="0" fontId="27" fillId="0" borderId="0" xfId="0" applyFont="1"/>
    <xf numFmtId="168" fontId="22" fillId="22" borderId="1" xfId="0" applyNumberFormat="1" applyFont="1" applyFill="1" applyBorder="1" applyAlignment="1">
      <alignment horizontal="center" vertical="center"/>
    </xf>
    <xf numFmtId="169" fontId="14" fillId="25" borderId="0" xfId="0" applyNumberFormat="1" applyFont="1" applyFill="1" applyAlignment="1">
      <alignment horizontal="center" vertical="center"/>
    </xf>
    <xf numFmtId="168" fontId="20" fillId="12" borderId="1" xfId="0" applyNumberFormat="1" applyFont="1" applyFill="1" applyBorder="1" applyAlignment="1">
      <alignment horizontal="center" vertical="center"/>
    </xf>
    <xf numFmtId="167" fontId="19" fillId="16" borderId="1" xfId="0" applyNumberFormat="1" applyFont="1" applyFill="1" applyBorder="1" applyAlignment="1">
      <alignment horizontal="center" vertical="center"/>
    </xf>
    <xf numFmtId="14" fontId="17" fillId="49" borderId="0" xfId="0" applyNumberFormat="1" applyFont="1" applyFill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14" fontId="17" fillId="22" borderId="0" xfId="0" applyNumberFormat="1" applyFont="1" applyFill="1" applyAlignment="1">
      <alignment horizontal="center" vertical="center"/>
    </xf>
    <xf numFmtId="0" fontId="14" fillId="22" borderId="0" xfId="0" applyFont="1" applyFill="1" applyAlignment="1">
      <alignment horizontal="center" vertical="center"/>
    </xf>
    <xf numFmtId="0" fontId="14" fillId="50" borderId="0" xfId="0" applyFont="1" applyFill="1" applyAlignment="1">
      <alignment horizontal="center" vertical="center"/>
    </xf>
    <xf numFmtId="169" fontId="14" fillId="50" borderId="0" xfId="0" applyNumberFormat="1" applyFont="1" applyFill="1" applyAlignment="1">
      <alignment horizontal="center" vertical="center"/>
    </xf>
    <xf numFmtId="169" fontId="20" fillId="12" borderId="1" xfId="0" applyNumberFormat="1" applyFont="1" applyFill="1" applyBorder="1" applyAlignment="1">
      <alignment horizontal="center" vertical="center"/>
    </xf>
    <xf numFmtId="168" fontId="14" fillId="49" borderId="0" xfId="0" applyNumberFormat="1" applyFont="1" applyFill="1" applyAlignment="1">
      <alignment horizontal="center" vertical="center"/>
    </xf>
    <xf numFmtId="165" fontId="19" fillId="16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1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/>
        <i/>
        <color theme="9" tint="-0.499984740745262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A750-Sans-Medium"/>
        <scheme val="none"/>
      </font>
      <numFmt numFmtId="167" formatCode="#,##0.000000"/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1"/>
        <name val="A750-Sans-Medium"/>
        <scheme val="none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750-Sans-Medium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1"/>
        <name val="A750-Sans-Medium"/>
        <scheme val="none"/>
      </font>
      <alignment horizontal="center" vertical="center"/>
    </dxf>
    <dxf>
      <font>
        <strike val="0"/>
        <outline val="0"/>
        <shadow val="0"/>
        <u val="none"/>
        <vertAlign val="baseline"/>
        <color theme="1"/>
        <name val="A750-Sans-Medium"/>
        <scheme val="none"/>
      </font>
    </dxf>
    <dxf>
      <font>
        <strike val="0"/>
        <outline val="0"/>
        <shadow val="0"/>
        <u val="none"/>
        <vertAlign val="baseline"/>
        <color theme="1"/>
        <name val="A750-Sans-Medium"/>
        <scheme val="none"/>
      </font>
    </dxf>
  </dxfs>
  <tableStyles count="0" defaultTableStyle="TableStyleMedium2" defaultPivotStyle="PivotStyleLight16"/>
  <colors>
    <mruColors>
      <color rgb="FFEB89DD"/>
      <color rgb="FFFBBCA3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9D826B3-4B43-4480-9926-AE733A391E75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.USD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2:G277" headerRowDxfId="20" dataDxfId="19">
  <autoFilter ref="B2:G277" xr:uid="{00000000-0009-0000-0100-000002000000}"/>
  <tableColumns count="6">
    <tableColumn id="1" xr3:uid="{00000000-0010-0000-0000-000001000000}" name="DATE" totalsRowLabel="Total" dataDxfId="18" totalsRowDxfId="17"/>
    <tableColumn id="2" xr3:uid="{00000000-0010-0000-0000-000002000000}" name="TOKEN" dataDxfId="16" totalsRowDxfId="15"/>
    <tableColumn id="3" xr3:uid="{00000000-0010-0000-0000-000003000000}" name="MONTANT" dataDxfId="14" totalsRowDxfId="13"/>
    <tableColumn id="4" xr3:uid="{00000000-0010-0000-0000-000004000000}" name="COURS (usd)" dataDxfId="12" totalsRowDxfId="11"/>
    <tableColumn id="5" xr3:uid="{00000000-0010-0000-0000-000005000000}" name="QUANTITE" dataDxfId="10" totalsRowDxfId="9">
      <calculatedColumnFormula>BDD!$D3/BDD!$E3</calculatedColumnFormula>
    </tableColumn>
    <tableColumn id="6" xr3:uid="{00000000-0010-0000-0000-000006000000}" name="EXCHANGE" totalsRowFunction="count" dataDxfId="8" totalsRow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22CA29-60C0-47B9-9CC2-E34567B263D9}" name="pricemulti_fsyms_BTC_ETH_SOL_BNB_ZEC_XRP_DOGE_ZEN_SUI_TAO_ADA_LINK_AVAX_XPL___2" displayName="pricemulti_fsyms_BTC_ETH_SOL_BNB_ZEC_XRP_DOGE_ZEN_SUI_TAO_ADA_LINK_AVAX_XPL___2" ref="A1:B43" tableType="queryTable" totalsRowShown="0" headerRowDxfId="6" dataDxfId="5">
  <autoFilter ref="A1:B43" xr:uid="{4A22CA29-60C0-47B9-9CC2-E34567B263D9}"/>
  <tableColumns count="2">
    <tableColumn id="1" xr3:uid="{AA788B98-5BC4-4B87-BEAB-BE418BDC31F8}" uniqueName="1" name="Name" queryTableFieldId="1" dataDxfId="1"/>
    <tableColumn id="2" xr3:uid="{E364D3A8-A3C1-4294-A543-8EFFAE5A4EA4}" uniqueName="2" name="Value.US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F6DEC2-6DF6-4851-9BEA-D267C6158FB3}">
  <we:reference id="wa104381695" version="1.0.10.0" store="fr-FR" storeType="OMEX"/>
  <we:alternateReferences>
    <we:reference id="wa104381695" version="1.0.1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_xldudf_CS_TIME</we:customFunctionIds>
        <we:customFunctionIds>_xldudf_CS_ATH</we:customFunctionIds>
        <we:customFunctionIds>_xldudf_CS_ENDPOINTS</we:customFunctionIds>
        <we:customFunctionIds>_xldudf_CS_EXCHANGES</we:customFunctionIds>
        <we:customFunctionIds>_xldudf_CS_EXRATE</we:customFunctionIds>
        <we:customFunctionIds>_xldudf_CS_OHLCV</we:customFunctionIds>
        <we:customFunctionIds>_xldudf_CS_ORDERBOOKS</we:customFunctionIds>
        <we:customFunctionIds>_xldudf_CS_PARAMETERS</we:customFunctionIds>
        <we:customFunctionIds>_xldudf_CS_PRICE</we:customFunctionIds>
        <we:customFunctionIds>_xldudf_CS_PRICEA</we:customFunctionIds>
        <we:customFunctionIds>_xldudf_CS_PROVIDERS</we:customFunctionIds>
        <we:customFunctionIds>_xldudf_CS_QUERY</we:customFunctionIds>
        <we:customFunctionIds>_xldudf_CS_QUERYA</we:customFunctionIds>
        <we:customFunctionIds>_xldudf_CS_SYMBOLS</we:customFunctionIds>
        <we:customFunctionIds>_xldudf_CS_TA</we:customFunctionIds>
        <we:customFunctionIds>_xldudf_CS_TAHIS</we:customFunctionIds>
        <we:customFunctionIds>_xldudf_CS_TRADES</we:customFunctionIds>
        <we:customFunctionIds>_xldudf_CS_ORDERBOOKSL3A</we:customFunctionIds>
        <we:customFunctionIds>_xldudf_CS_OHLCVA</we:customFunctionIds>
        <we:customFunctionIds>_xldudf_CS_ADDRESS</we:customFunctionIds>
        <we:customFunctionIds>_xldudf_CS_CHAIN</we:customFunctionIds>
        <we:customFunctionIds>_xldudf_CS_CLUSTERS</we:customFunctionIds>
        <we:customFunctionIds>_xldudf_CS_IDEAS</we:customFunctionIds>
        <we:customFunctionIds>_xldudf_CS_METRICS</we:customFunctionIds>
        <we:customFunctionIds>_xldudf_CS_AD</we:customFunctionIds>
        <we:customFunctionIds>_xldudf_CS_ADOSC</we:customFunctionIds>
        <we:customFunctionIds>_xldudf_CS_ADX</we:customFunctionIds>
        <we:customFunctionIds>_xldudf_CS_APO</we:customFunctionIds>
        <we:customFunctionIds>_xldudf_CS_AROON</we:customFunctionIds>
        <we:customFunctionIds>_xldudf_CS_AROONOSC</we:customFunctionIds>
        <we:customFunctionIds>_xldudf_CS_ATR</we:customFunctionIds>
        <we:customFunctionIds>_xldudf_CS_BBANDS</we:customFunctionIds>
        <we:customFunctionIds>_xldudf_CS_BETA</we:customFunctionIds>
        <we:customFunctionIds>_xldudf_CS_CCI</we:customFunctionIds>
        <we:customFunctionIds>_xldudf_CS_CDLINNECK</we:customFunctionIds>
        <we:customFunctionIds>_xldudf_CS_CDLMARUBOZU</we:customFunctionIds>
        <we:customFunctionIds>_xldudf_CS_CORREL</we:customFunctionIds>
        <we:customFunctionIds>_xldudf_CS_DEMA</we:customFunctionIds>
        <we:customFunctionIds>_xldudf_CS_DX</we:customFunctionIds>
        <we:customFunctionIds>_xldudf_CS_EMA</we:customFunctionIds>
        <we:customFunctionIds>_xldudf_CS_LINEARREG</we:customFunctionIds>
        <we:customFunctionIds>_xldudf_CS_LINEARREGANGLE</we:customFunctionIds>
        <we:customFunctionIds>_xldudf_CS_LINEARREGINTERCEPT</we:customFunctionIds>
        <we:customFunctionIds>_xldudf_CS_LINEARREGSLOPE</we:customFunctionIds>
        <we:customFunctionIds>_xldudf_CS_MACD</we:customFunctionIds>
        <we:customFunctionIds>_xldudf_CS_MACDEXT</we:customFunctionIds>
        <we:customFunctionIds>_xldudf_CS_MACDFIX</we:customFunctionIds>
        <we:customFunctionIds>_xldudf_CS_MFI</we:customFunctionIds>
        <we:customFunctionIds>_xldudf_CS_MOM</we:customFunctionIds>
        <we:customFunctionIds>_xldudf_CS_NATR</we:customFunctionIds>
        <we:customFunctionIds>_xldudf_CS_OBV</we:customFunctionIds>
        <we:customFunctionIds>_xldudf_CS_ROC</we:customFunctionIds>
        <we:customFunctionIds>_xldudf_CS_ROCP</we:customFunctionIds>
        <we:customFunctionIds>_xldudf_CS_ROCR</we:customFunctionIds>
        <we:customFunctionIds>_xldudf_CS_RSI</we:customFunctionIds>
        <we:customFunctionIds>_xldudf_CS_SAREXT</we:customFunctionIds>
        <we:customFunctionIds>_xldudf_CS_SMA</we:customFunctionIds>
        <we:customFunctionIds>_xldudf_CS_STDDEV</we:customFunctionIds>
        <we:customFunctionIds>_xldudf_CS_STOCH</we:customFunctionIds>
        <we:customFunctionIds>_xldudf_CS_T3</we:customFunctionIds>
        <we:customFunctionIds>_xldudf_CS_TEMA</we:customFunctionIds>
        <we:customFunctionIds>_xldudf_CS_TRANGE</we:customFunctionIds>
        <we:customFunctionIds>_xldudf_CS_TRIX</we:customFunctionIds>
        <we:customFunctionIds>_xldudf_CS_TSF</we:customFunctionIds>
        <we:customFunctionIds>_xldudf_CS_ULTOSC</we:customFunctionIds>
        <we:customFunctionIds>_xldudf_CS_VARI</we:customFunctionIds>
        <we:customFunctionIds>_xldudf_CS_WCLPRICE</we:customFunctionIds>
        <we:customFunctionIds>_xldudf_CS_WILLR</we:customFunctionIds>
        <we:customFunctionIds>_xldudf_CS_WMA</we:customFunctionIds>
        <we:customFunctionIds>_xldudf_CS_STATUS</we:customFunctionIds>
        <we:customFunctionIds>_xldudf_CS_LOGIN</we:customFunctionIds>
        <we:customFunctionIds>_xldudf_CS_TAMETADATA</we:customFunctionIds>
        <we:customFunctionIds>_xldudf_CS_FLOOR</we:customFunctionIds>
        <we:customFunctionIds>_xldudf_CS_LN</we:customFunctionIds>
        <we:customFunctionIds>_xldudf_CS_EXP</we:customFunctionIds>
        <we:customFunctionIds>_xldudf_CS_FIELDS</we:customFunctionIds>
        <we:customFunctionIds>_xldudf_CS_TRADESA</we:customFunctionIds>
        <we:customFunctionIds>_xldudf_CS_ORDERBOOKSA</we:customFunctionIds>
        <we:customFunctionIds>_xldudf_CS_METRICSA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46"/>
  <sheetViews>
    <sheetView defaultGridColor="0" topLeftCell="B11" colorId="18" zoomScaleNormal="100" workbookViewId="0">
      <selection activeCell="D9" sqref="D9"/>
    </sheetView>
  </sheetViews>
  <sheetFormatPr baseColWidth="10" defaultColWidth="11" defaultRowHeight="19.5"/>
  <cols>
    <col min="1" max="1" width="11.42578125" hidden="1" customWidth="1"/>
    <col min="2" max="2" width="17.28515625" style="45" customWidth="1"/>
    <col min="3" max="3" width="14.7109375" style="37" customWidth="1"/>
    <col min="4" max="4" width="17" style="37" customWidth="1"/>
    <col min="5" max="5" width="20.5703125" style="37" customWidth="1"/>
    <col min="6" max="6" width="19.28515625" style="38" customWidth="1"/>
    <col min="7" max="7" width="15.28515625" style="36" customWidth="1"/>
    <col min="8" max="8" width="2.28515625" customWidth="1"/>
  </cols>
  <sheetData>
    <row r="1" spans="2:8" ht="3" hidden="1" customHeight="1">
      <c r="H1" s="27"/>
    </row>
    <row r="2" spans="2:8" s="2" customFormat="1" ht="24" customHeight="1">
      <c r="B2" s="39" t="s">
        <v>0</v>
      </c>
      <c r="C2" s="40" t="s">
        <v>1</v>
      </c>
      <c r="D2" s="41" t="s">
        <v>35</v>
      </c>
      <c r="E2" s="42" t="s">
        <v>2</v>
      </c>
      <c r="F2" s="43" t="s">
        <v>3</v>
      </c>
      <c r="G2" s="44" t="s">
        <v>4</v>
      </c>
      <c r="H2" s="28"/>
    </row>
    <row r="3" spans="2:8">
      <c r="B3" s="76">
        <v>46052</v>
      </c>
      <c r="C3" s="77" t="s">
        <v>5</v>
      </c>
      <c r="D3" s="77">
        <v>15.7</v>
      </c>
      <c r="E3" s="77">
        <v>82603.899999999994</v>
      </c>
      <c r="F3" s="78">
        <f>BDD!$D3/BDD!$E3</f>
        <v>1.9006366527488412E-4</v>
      </c>
      <c r="G3" s="77" t="s">
        <v>16</v>
      </c>
      <c r="H3" s="79"/>
    </row>
    <row r="4" spans="2:8" ht="20.25" customHeight="1">
      <c r="B4" s="80">
        <v>46054</v>
      </c>
      <c r="C4" s="81" t="s">
        <v>15</v>
      </c>
      <c r="D4" s="81">
        <v>20.440000000000001</v>
      </c>
      <c r="E4" s="81">
        <v>2376.41</v>
      </c>
      <c r="F4" s="82">
        <f>BDD!$D4/BDD!$E4</f>
        <v>8.6012093872690331E-3</v>
      </c>
      <c r="G4" s="81" t="s">
        <v>16</v>
      </c>
      <c r="H4" s="79"/>
    </row>
    <row r="5" spans="2:8" ht="20.25" customHeight="1">
      <c r="B5" s="83">
        <v>46054</v>
      </c>
      <c r="C5" s="84" t="s">
        <v>6</v>
      </c>
      <c r="D5" s="84">
        <v>15.7003</v>
      </c>
      <c r="E5" s="84">
        <v>101.95</v>
      </c>
      <c r="F5" s="85">
        <f>BDD!$D5/BDD!$E5</f>
        <v>0.154</v>
      </c>
      <c r="G5" s="84" t="s">
        <v>16</v>
      </c>
      <c r="H5" s="79"/>
    </row>
    <row r="6" spans="2:8">
      <c r="B6" s="86">
        <v>46052</v>
      </c>
      <c r="C6" s="87" t="s">
        <v>24</v>
      </c>
      <c r="D6" s="87">
        <v>15.65</v>
      </c>
      <c r="E6" s="87">
        <v>851.9</v>
      </c>
      <c r="F6" s="88">
        <f>BDD!$D6/BDD!$E6</f>
        <v>1.8370700786477286E-2</v>
      </c>
      <c r="G6" s="87" t="s">
        <v>16</v>
      </c>
      <c r="H6" s="79"/>
    </row>
    <row r="7" spans="2:8">
      <c r="B7" s="89">
        <v>46165</v>
      </c>
      <c r="C7" s="90" t="s">
        <v>53</v>
      </c>
      <c r="D7" s="90">
        <v>10</v>
      </c>
      <c r="E7" s="90">
        <v>587.71</v>
      </c>
      <c r="F7" s="91">
        <f>BDD!$D7/BDD!$E7</f>
        <v>1.7015194568749892E-2</v>
      </c>
      <c r="G7" s="90" t="s">
        <v>16</v>
      </c>
      <c r="H7" s="79"/>
    </row>
    <row r="8" spans="2:8">
      <c r="B8" s="92">
        <v>46060</v>
      </c>
      <c r="C8" s="93" t="s">
        <v>30</v>
      </c>
      <c r="D8" s="93">
        <v>10.36</v>
      </c>
      <c r="E8" s="93">
        <v>1.4187000000000001</v>
      </c>
      <c r="F8" s="94">
        <f>BDD!$D8/BDD!$E8</f>
        <v>7.3024599985902583</v>
      </c>
      <c r="G8" s="93" t="s">
        <v>16</v>
      </c>
      <c r="H8" s="79"/>
    </row>
    <row r="9" spans="2:8">
      <c r="B9" s="86">
        <v>46061</v>
      </c>
      <c r="C9" s="87" t="s">
        <v>33</v>
      </c>
      <c r="D9" s="87">
        <v>7.84</v>
      </c>
      <c r="E9" s="87">
        <v>9.6790000000000001E-2</v>
      </c>
      <c r="F9" s="95">
        <f>BDD!$D9/BDD!$E9</f>
        <v>81.000103316458308</v>
      </c>
      <c r="G9" s="87" t="s">
        <v>16</v>
      </c>
      <c r="H9" s="79"/>
    </row>
    <row r="10" spans="2:8">
      <c r="B10" s="96">
        <v>46132</v>
      </c>
      <c r="C10" s="97" t="s">
        <v>54</v>
      </c>
      <c r="D10" s="97">
        <v>10.244999999999999</v>
      </c>
      <c r="E10" s="97">
        <v>6.0979999999999999</v>
      </c>
      <c r="F10" s="98">
        <f>BDD!$D10/BDD!$E10</f>
        <v>1.6800590357494261</v>
      </c>
      <c r="G10" s="97" t="s">
        <v>16</v>
      </c>
      <c r="H10" s="79"/>
    </row>
    <row r="11" spans="2:8">
      <c r="B11" s="86">
        <v>46102</v>
      </c>
      <c r="C11" s="87" t="s">
        <v>46</v>
      </c>
      <c r="D11" s="87">
        <v>7.8</v>
      </c>
      <c r="E11" s="87">
        <v>0.93459999999999999</v>
      </c>
      <c r="F11" s="99">
        <f>BDD!$D11/BDD!$E11</f>
        <v>8.3458163920393744</v>
      </c>
      <c r="G11" s="87" t="s">
        <v>16</v>
      </c>
      <c r="H11" s="79"/>
    </row>
    <row r="12" spans="2:8">
      <c r="B12" s="80">
        <v>46106</v>
      </c>
      <c r="C12" s="81" t="s">
        <v>25</v>
      </c>
      <c r="D12" s="100">
        <v>12.212</v>
      </c>
      <c r="E12" s="81">
        <v>344</v>
      </c>
      <c r="F12" s="101">
        <f>BDD!$D12/BDD!$E12</f>
        <v>3.5499999999999997E-2</v>
      </c>
      <c r="G12" s="81" t="s">
        <v>16</v>
      </c>
      <c r="H12" s="79"/>
    </row>
    <row r="13" spans="2:8">
      <c r="B13" s="80">
        <v>46122</v>
      </c>
      <c r="C13" s="81" t="s">
        <v>25</v>
      </c>
      <c r="D13" s="100">
        <v>10.454000000000001</v>
      </c>
      <c r="E13" s="81">
        <v>292</v>
      </c>
      <c r="F13" s="82">
        <f>BDD!$D13/BDD!$E13</f>
        <v>3.5801369863013702E-2</v>
      </c>
      <c r="G13" s="81"/>
      <c r="H13" s="79"/>
    </row>
    <row r="14" spans="2:8">
      <c r="B14" s="102">
        <v>46068</v>
      </c>
      <c r="C14" s="103" t="s">
        <v>29</v>
      </c>
      <c r="D14" s="103">
        <v>9.8000000000000007</v>
      </c>
      <c r="E14" s="103">
        <v>0.29680000000000001</v>
      </c>
      <c r="F14" s="104">
        <f>BDD!$D14/BDD!$E14</f>
        <v>33.018867924528301</v>
      </c>
      <c r="G14" s="103" t="s">
        <v>16</v>
      </c>
      <c r="H14" s="79"/>
    </row>
    <row r="15" spans="2:8">
      <c r="B15" s="105">
        <v>46097</v>
      </c>
      <c r="C15" s="106" t="s">
        <v>21</v>
      </c>
      <c r="D15" s="106">
        <v>12.15</v>
      </c>
      <c r="E15" s="106">
        <v>9.7200000000000006</v>
      </c>
      <c r="F15" s="107">
        <f>BDD!$D15/BDD!$E15</f>
        <v>1.25</v>
      </c>
      <c r="G15" s="106" t="s">
        <v>16</v>
      </c>
      <c r="H15" s="79"/>
    </row>
    <row r="16" spans="2:8">
      <c r="B16" s="80">
        <v>46101</v>
      </c>
      <c r="C16" s="81" t="s">
        <v>49</v>
      </c>
      <c r="D16" s="81">
        <v>5.31</v>
      </c>
      <c r="E16" s="81">
        <v>9.48</v>
      </c>
      <c r="F16" s="82">
        <f>BDD!$D16/BDD!$E16</f>
        <v>0.560126582278481</v>
      </c>
      <c r="G16" s="81" t="s">
        <v>16</v>
      </c>
      <c r="H16" s="79"/>
    </row>
    <row r="17" spans="2:8">
      <c r="B17" s="108"/>
      <c r="C17" s="109" t="s">
        <v>55</v>
      </c>
      <c r="D17" s="109"/>
      <c r="E17" s="109"/>
      <c r="F17" s="110" t="e">
        <f>BDD!$D17/BDD!$E17</f>
        <v>#DIV/0!</v>
      </c>
      <c r="G17" s="109" t="s">
        <v>16</v>
      </c>
      <c r="H17" s="79"/>
    </row>
    <row r="18" spans="2:8">
      <c r="B18" s="80">
        <v>46122</v>
      </c>
      <c r="C18" s="81" t="s">
        <v>41</v>
      </c>
      <c r="D18" s="81">
        <v>8.2475000000000005</v>
      </c>
      <c r="E18" s="81">
        <v>0.68159999999999998</v>
      </c>
      <c r="F18" s="101">
        <f>BDD!$D18/BDD!$E18</f>
        <v>12.100205399061034</v>
      </c>
      <c r="G18" s="81" t="s">
        <v>16</v>
      </c>
      <c r="H18" s="79"/>
    </row>
    <row r="19" spans="2:8">
      <c r="B19" s="111"/>
      <c r="C19" s="112" t="s">
        <v>50</v>
      </c>
      <c r="D19" s="112"/>
      <c r="E19" s="112"/>
      <c r="F19" s="113" t="e">
        <f>BDD!$D19/BDD!$E19</f>
        <v>#DIV/0!</v>
      </c>
      <c r="G19" s="112" t="s">
        <v>16</v>
      </c>
      <c r="H19" s="79"/>
    </row>
    <row r="20" spans="2:8">
      <c r="B20" s="76">
        <v>46143</v>
      </c>
      <c r="C20" s="77" t="s">
        <v>56</v>
      </c>
      <c r="D20" s="77">
        <v>7.6021999999999998</v>
      </c>
      <c r="E20" s="77">
        <v>0.1036</v>
      </c>
      <c r="F20" s="114">
        <f>BDD!$D20/BDD!$E20</f>
        <v>73.380308880308874</v>
      </c>
      <c r="G20" s="77" t="s">
        <v>16</v>
      </c>
      <c r="H20" s="79"/>
    </row>
    <row r="21" spans="2:8">
      <c r="B21" s="83">
        <v>46102</v>
      </c>
      <c r="C21" s="84" t="s">
        <v>20</v>
      </c>
      <c r="D21" s="84">
        <v>7.9459999999999997</v>
      </c>
      <c r="E21" s="84">
        <v>0.32040000000000002</v>
      </c>
      <c r="F21" s="85">
        <f>BDD!$D21/BDD!$E21</f>
        <v>24.800249687890137</v>
      </c>
      <c r="G21" s="84" t="s">
        <v>16</v>
      </c>
      <c r="H21" s="79"/>
    </row>
    <row r="22" spans="2:8">
      <c r="B22" s="115">
        <v>46106</v>
      </c>
      <c r="C22" s="116" t="s">
        <v>34</v>
      </c>
      <c r="D22" s="116">
        <v>5.7</v>
      </c>
      <c r="E22" s="116">
        <v>1.294</v>
      </c>
      <c r="F22" s="117">
        <f>BDD!$D22/BDD!$E22</f>
        <v>4.4049459041731067</v>
      </c>
      <c r="G22" s="116" t="s">
        <v>16</v>
      </c>
      <c r="H22" s="79"/>
    </row>
    <row r="23" spans="2:8">
      <c r="B23" s="108">
        <v>46155</v>
      </c>
      <c r="C23" s="109" t="s">
        <v>28</v>
      </c>
      <c r="D23" s="109">
        <v>8.91</v>
      </c>
      <c r="E23" s="109">
        <v>98.98</v>
      </c>
      <c r="F23" s="118">
        <f>BDD!$D23/BDD!$E23</f>
        <v>9.0018185492018593E-2</v>
      </c>
      <c r="G23" s="109" t="s">
        <v>16</v>
      </c>
      <c r="H23" s="79"/>
    </row>
    <row r="24" spans="2:8">
      <c r="B24" s="76"/>
      <c r="C24" s="77" t="s">
        <v>51</v>
      </c>
      <c r="D24" s="77"/>
      <c r="E24" s="77"/>
      <c r="F24" s="119" t="e">
        <f>BDD!$D24/BDD!$E24</f>
        <v>#DIV/0!</v>
      </c>
      <c r="G24" s="77" t="s">
        <v>16</v>
      </c>
      <c r="H24" s="79"/>
    </row>
    <row r="25" spans="2:8">
      <c r="B25" s="120"/>
      <c r="C25" s="121" t="s">
        <v>45</v>
      </c>
      <c r="D25" s="121"/>
      <c r="E25" s="121"/>
      <c r="F25" s="122" t="e">
        <f>BDD!$D25/BDD!$E25</f>
        <v>#DIV/0!</v>
      </c>
      <c r="G25" s="121" t="s">
        <v>16</v>
      </c>
      <c r="H25" s="79"/>
    </row>
    <row r="26" spans="2:8">
      <c r="B26" s="86"/>
      <c r="C26" s="87" t="s">
        <v>47</v>
      </c>
      <c r="D26" s="87"/>
      <c r="E26" s="87"/>
      <c r="F26" s="99" t="e">
        <f>BDD!$D26/BDD!$E26</f>
        <v>#DIV/0!</v>
      </c>
      <c r="G26" s="87" t="s">
        <v>16</v>
      </c>
      <c r="H26" s="79"/>
    </row>
    <row r="27" spans="2:8">
      <c r="B27" s="123"/>
      <c r="C27" s="124" t="s">
        <v>48</v>
      </c>
      <c r="D27" s="124"/>
      <c r="E27" s="124"/>
      <c r="F27" s="125" t="e">
        <f>BDD!$D27/BDD!$E27</f>
        <v>#DIV/0!</v>
      </c>
      <c r="G27" s="124" t="s">
        <v>16</v>
      </c>
      <c r="H27" s="79"/>
    </row>
    <row r="28" spans="2:8">
      <c r="B28" s="126">
        <v>46059</v>
      </c>
      <c r="C28" s="127" t="s">
        <v>26</v>
      </c>
      <c r="D28" s="127">
        <v>10.534000000000001</v>
      </c>
      <c r="E28" s="127">
        <v>1.8129999999999999</v>
      </c>
      <c r="F28" s="128">
        <f>BDD!$D28/BDD!$E28</f>
        <v>5.8102592388306675</v>
      </c>
      <c r="G28" s="127" t="s">
        <v>16</v>
      </c>
      <c r="H28" s="79"/>
    </row>
    <row r="29" spans="2:8">
      <c r="B29" s="76"/>
      <c r="C29" s="77" t="s">
        <v>27</v>
      </c>
      <c r="D29" s="77"/>
      <c r="E29" s="77"/>
      <c r="F29" s="129" t="e">
        <f>BDD!$D29/BDD!$E29</f>
        <v>#DIV/0!</v>
      </c>
      <c r="G29" s="77" t="s">
        <v>16</v>
      </c>
      <c r="H29" s="79"/>
    </row>
    <row r="30" spans="2:8">
      <c r="B30" s="130"/>
      <c r="C30" s="131" t="s">
        <v>19</v>
      </c>
      <c r="D30" s="131"/>
      <c r="E30" s="131"/>
      <c r="F30" s="132" t="e">
        <f>BDD!$D30/BDD!$E30</f>
        <v>#DIV/0!</v>
      </c>
      <c r="G30" s="131" t="s">
        <v>16</v>
      </c>
      <c r="H30" s="79"/>
    </row>
    <row r="31" spans="2:8">
      <c r="B31" s="86">
        <v>46111</v>
      </c>
      <c r="C31" s="87" t="s">
        <v>22</v>
      </c>
      <c r="D31" s="87">
        <v>8.8000000000000007</v>
      </c>
      <c r="E31" s="87">
        <v>5.8390000000000004</v>
      </c>
      <c r="F31" s="133">
        <f>BDD!$D31/BDD!$E31</f>
        <v>1.5071073814009248</v>
      </c>
      <c r="G31" s="87" t="s">
        <v>16</v>
      </c>
      <c r="H31" s="79"/>
    </row>
    <row r="32" spans="2:8">
      <c r="B32" s="86">
        <v>46111</v>
      </c>
      <c r="C32" s="87" t="s">
        <v>60</v>
      </c>
      <c r="D32" s="87">
        <v>8.6135000000000002</v>
      </c>
      <c r="E32" s="87">
        <v>0.23860000000000001</v>
      </c>
      <c r="F32" s="133">
        <f>BDD!$D32/BDD!$E32</f>
        <v>36.100167644593462</v>
      </c>
      <c r="G32" s="87" t="s">
        <v>16</v>
      </c>
      <c r="H32" s="79"/>
    </row>
    <row r="33" spans="2:8">
      <c r="B33" s="83">
        <v>46152</v>
      </c>
      <c r="C33" s="84" t="s">
        <v>40</v>
      </c>
      <c r="D33" s="84">
        <v>8.25</v>
      </c>
      <c r="E33" s="84">
        <v>1.9870000000000001</v>
      </c>
      <c r="F33" s="134">
        <f>BDD!$D33/BDD!$E33</f>
        <v>4.1519879214896829</v>
      </c>
      <c r="G33" s="84" t="s">
        <v>16</v>
      </c>
      <c r="H33" s="79"/>
    </row>
    <row r="34" spans="2:8">
      <c r="B34" s="135"/>
      <c r="C34" s="136" t="s">
        <v>39</v>
      </c>
      <c r="D34" s="136"/>
      <c r="E34" s="136"/>
      <c r="F34" s="137" t="e">
        <f>BDD!$D34/BDD!$E34</f>
        <v>#DIV/0!</v>
      </c>
      <c r="G34" s="136" t="s">
        <v>16</v>
      </c>
      <c r="H34" s="79"/>
    </row>
    <row r="35" spans="2:8">
      <c r="B35" s="76"/>
      <c r="C35" s="77" t="s">
        <v>37</v>
      </c>
      <c r="D35" s="77"/>
      <c r="E35" s="77"/>
      <c r="F35" s="138" t="e">
        <f>BDD!$D35/BDD!$E35</f>
        <v>#DIV/0!</v>
      </c>
      <c r="G35" s="77" t="s">
        <v>16</v>
      </c>
      <c r="H35" s="79"/>
    </row>
    <row r="36" spans="2:8">
      <c r="B36" s="80">
        <v>46122</v>
      </c>
      <c r="C36" s="81" t="s">
        <v>57</v>
      </c>
      <c r="D36" s="81">
        <v>12.012499999999999</v>
      </c>
      <c r="E36" s="81">
        <v>1.29E-2</v>
      </c>
      <c r="F36" s="170">
        <f>BDD!$D36/BDD!$E36</f>
        <v>931.20155038759685</v>
      </c>
      <c r="G36" s="81" t="s">
        <v>16</v>
      </c>
      <c r="H36" s="79"/>
    </row>
    <row r="37" spans="2:8">
      <c r="B37" s="120">
        <v>46163</v>
      </c>
      <c r="C37" s="121" t="s">
        <v>18</v>
      </c>
      <c r="D37" s="121">
        <v>10.199999999999999</v>
      </c>
      <c r="E37" s="121">
        <v>2.5749999999999999E-2</v>
      </c>
      <c r="F37" s="139">
        <f>BDD!$D37/BDD!$E37</f>
        <v>396.11650485436894</v>
      </c>
      <c r="G37" s="121" t="s">
        <v>16</v>
      </c>
      <c r="H37" s="79"/>
    </row>
    <row r="38" spans="2:8">
      <c r="B38" s="140"/>
      <c r="C38" s="141" t="s">
        <v>58</v>
      </c>
      <c r="D38" s="141"/>
      <c r="E38" s="141"/>
      <c r="F38" s="142" t="e">
        <f>BDD!$D38/BDD!$E38</f>
        <v>#DIV/0!</v>
      </c>
      <c r="G38" s="141" t="s">
        <v>16</v>
      </c>
      <c r="H38" s="79"/>
    </row>
    <row r="39" spans="2:8">
      <c r="B39" s="143"/>
      <c r="C39" s="144" t="s">
        <v>36</v>
      </c>
      <c r="D39" s="144"/>
      <c r="E39" s="144"/>
      <c r="F39" s="145" t="e">
        <f>BDD!$D39/BDD!$E39</f>
        <v>#DIV/0!</v>
      </c>
      <c r="G39" s="144" t="s">
        <v>16</v>
      </c>
      <c r="H39" s="79"/>
    </row>
    <row r="40" spans="2:8">
      <c r="B40" s="105"/>
      <c r="C40" s="106" t="s">
        <v>23</v>
      </c>
      <c r="D40" s="106"/>
      <c r="E40" s="106"/>
      <c r="F40" s="146" t="e">
        <f>BDD!$D40/BDD!$E40</f>
        <v>#DIV/0!</v>
      </c>
      <c r="G40" s="106" t="s">
        <v>16</v>
      </c>
      <c r="H40" s="79"/>
    </row>
    <row r="41" spans="2:8">
      <c r="B41" s="147"/>
      <c r="C41" s="148" t="s">
        <v>38</v>
      </c>
      <c r="D41" s="148"/>
      <c r="E41" s="148"/>
      <c r="F41" s="149" t="e">
        <f>BDD!$D41/BDD!$E41</f>
        <v>#DIV/0!</v>
      </c>
      <c r="G41" s="148" t="s">
        <v>16</v>
      </c>
      <c r="H41" s="79"/>
    </row>
    <row r="42" spans="2:8">
      <c r="B42" s="150">
        <v>46121</v>
      </c>
      <c r="C42" s="151" t="s">
        <v>59</v>
      </c>
      <c r="D42" s="151">
        <v>11.26</v>
      </c>
      <c r="E42" s="151">
        <v>54.91</v>
      </c>
      <c r="F42" s="152">
        <f>BDD!$D42/BDD!$E42</f>
        <v>0.20506283008559462</v>
      </c>
      <c r="G42" s="151" t="s">
        <v>16</v>
      </c>
      <c r="H42" s="79"/>
    </row>
    <row r="43" spans="2:8">
      <c r="B43" s="126">
        <v>46052</v>
      </c>
      <c r="C43" s="127" t="s">
        <v>52</v>
      </c>
      <c r="D43" s="127">
        <v>5.1153000000000004</v>
      </c>
      <c r="E43" s="127">
        <v>4.5600000000000004E-6</v>
      </c>
      <c r="F43" s="153">
        <f>BDD!$D43/BDD!$E43</f>
        <v>1121776.3157894737</v>
      </c>
      <c r="G43" s="127" t="s">
        <v>16</v>
      </c>
      <c r="H43" s="79"/>
    </row>
    <row r="44" spans="2:8">
      <c r="B44" s="173" t="s">
        <v>63</v>
      </c>
      <c r="C44" s="174" t="s">
        <v>61</v>
      </c>
      <c r="D44" s="174">
        <v>7.73</v>
      </c>
      <c r="E44" s="174">
        <v>5.4999999999999997E-3</v>
      </c>
      <c r="F44" s="180">
        <f>BDD!$D44/BDD!$E44</f>
        <v>1405.4545454545457</v>
      </c>
      <c r="G44" s="174" t="s">
        <v>16</v>
      </c>
      <c r="H44" s="79"/>
    </row>
    <row r="45" spans="2:8">
      <c r="B45" s="175">
        <v>46143</v>
      </c>
      <c r="C45" s="176" t="s">
        <v>62</v>
      </c>
      <c r="D45" s="176">
        <v>7.6033099999999996</v>
      </c>
      <c r="E45" s="176">
        <v>1.6900000000000001E-3</v>
      </c>
      <c r="F45" s="178">
        <f>BDD!$D45/BDD!$E45</f>
        <v>4498.9999999999991</v>
      </c>
      <c r="G45" s="177" t="s">
        <v>16</v>
      </c>
      <c r="H45" s="79"/>
    </row>
    <row r="46" spans="2:8">
      <c r="B46" s="80"/>
      <c r="C46" s="81"/>
      <c r="D46" s="100"/>
      <c r="E46" s="81"/>
      <c r="F46" s="82"/>
      <c r="G46" s="81"/>
      <c r="H46" s="27"/>
    </row>
  </sheetData>
  <dataValidations count="1">
    <dataValidation type="list" allowBlank="1" showErrorMessage="1" sqref="G3:G46" xr:uid="{CE54EEB0-205A-4BD0-9941-813ECE7E239B}">
      <formula1>"BINANCE,YELLOW CARD"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A851-B9B9-46DC-95B2-7190958FA3DC}">
  <sheetPr>
    <tabColor rgb="FFFFC000"/>
  </sheetPr>
  <dimension ref="A1:R57"/>
  <sheetViews>
    <sheetView showGridLines="0" tabSelected="1" topLeftCell="B1" zoomScaleNormal="100" zoomScaleSheetLayoutView="50" workbookViewId="0">
      <selection activeCell="B24" sqref="A24:XFD24"/>
    </sheetView>
  </sheetViews>
  <sheetFormatPr baseColWidth="10" defaultRowHeight="21"/>
  <cols>
    <col min="1" max="1" width="3.140625" style="3" hidden="1" customWidth="1"/>
    <col min="2" max="2" width="14" style="3" customWidth="1"/>
    <col min="3" max="3" width="25.42578125" style="3" customWidth="1"/>
    <col min="4" max="4" width="26.85546875" style="3" customWidth="1"/>
    <col min="5" max="5" width="19.5703125" style="14" customWidth="1"/>
    <col min="6" max="6" width="21.85546875" style="14" customWidth="1"/>
    <col min="7" max="7" width="23.28515625" style="3" customWidth="1"/>
    <col min="8" max="8" width="13" style="3" customWidth="1"/>
    <col min="9" max="9" width="17.85546875" style="3" customWidth="1"/>
    <col min="10" max="10" width="2.7109375" style="3" customWidth="1"/>
    <col min="11" max="11" width="3" style="3" customWidth="1"/>
    <col min="12" max="12" width="16.140625" style="3" customWidth="1"/>
    <col min="13" max="18" width="11.42578125" style="3"/>
  </cols>
  <sheetData>
    <row r="1" spans="1:12" ht="12" customHeight="1">
      <c r="A1" s="29"/>
      <c r="B1" s="58"/>
      <c r="C1" s="58"/>
      <c r="D1" s="58"/>
      <c r="E1" s="59"/>
      <c r="F1" s="59"/>
      <c r="G1" s="58"/>
      <c r="H1" s="58"/>
      <c r="I1" s="58"/>
      <c r="J1" s="58"/>
      <c r="K1" s="58"/>
      <c r="L1" s="19"/>
    </row>
    <row r="2" spans="1:12" ht="21.75" customHeight="1">
      <c r="A2" s="30"/>
      <c r="B2" s="19"/>
      <c r="C2" s="22" t="s">
        <v>7</v>
      </c>
      <c r="D2" s="19"/>
      <c r="E2" s="20"/>
      <c r="F2" s="23" t="s">
        <v>8</v>
      </c>
      <c r="G2" s="19"/>
      <c r="H2" s="19"/>
      <c r="I2" s="22" t="s">
        <v>9</v>
      </c>
      <c r="J2" s="19"/>
      <c r="K2" s="58"/>
      <c r="L2" s="25"/>
    </row>
    <row r="3" spans="1:12" ht="20.25" customHeight="1">
      <c r="A3" s="29"/>
      <c r="B3" s="19"/>
      <c r="C3" s="10">
        <f>SUM(C6:C57)</f>
        <v>292.18561000000005</v>
      </c>
      <c r="D3" s="19"/>
      <c r="E3" s="20"/>
      <c r="F3" s="10">
        <f>SUM(G6:G55)</f>
        <v>275.58856406873417</v>
      </c>
      <c r="G3" s="19"/>
      <c r="H3" s="19"/>
      <c r="I3" s="11">
        <f>(F3-C3)/C3</f>
        <v>-5.6803091470746553E-2</v>
      </c>
      <c r="J3" s="19"/>
      <c r="K3" s="58"/>
      <c r="L3" s="25"/>
    </row>
    <row r="4" spans="1:12" ht="10.5" customHeight="1">
      <c r="A4" s="19"/>
      <c r="B4" s="19"/>
      <c r="C4" s="19"/>
      <c r="D4" s="19"/>
      <c r="E4" s="20"/>
      <c r="F4" s="20"/>
      <c r="G4" s="19"/>
      <c r="H4" s="19"/>
      <c r="I4" s="19"/>
      <c r="J4" s="19"/>
      <c r="K4" s="58"/>
      <c r="L4" s="25"/>
    </row>
    <row r="5" spans="1:12" s="1" customFormat="1" ht="25.5" customHeight="1">
      <c r="A5" s="24"/>
      <c r="B5" s="21" t="s">
        <v>1</v>
      </c>
      <c r="C5" s="4" t="s">
        <v>10</v>
      </c>
      <c r="D5" s="5" t="s">
        <v>11</v>
      </c>
      <c r="E5" s="12" t="s">
        <v>12</v>
      </c>
      <c r="F5" s="13" t="s">
        <v>13</v>
      </c>
      <c r="G5" s="6" t="s">
        <v>17</v>
      </c>
      <c r="H5" s="7" t="s">
        <v>14</v>
      </c>
      <c r="I5" s="8" t="s">
        <v>9</v>
      </c>
      <c r="J5" s="24"/>
      <c r="K5" s="60"/>
      <c r="L5" s="26"/>
    </row>
    <row r="6" spans="1:12" ht="19.5" customHeight="1">
      <c r="A6" s="19"/>
      <c r="B6" s="15" t="str" cm="1">
        <f t="array" ref="B6:B48">_xlfn.UNIQUE(Tableau2[TOKEN])</f>
        <v>BTC</v>
      </c>
      <c r="C6" s="69">
        <f>SUMIF(Tableau2[TOKEN],T.BORD!B6,Tableau2[MONTANT])</f>
        <v>15.7</v>
      </c>
      <c r="D6" s="70">
        <f>SUMIF(Tableau2[TOKEN],T.BORD!B6,Tableau2[QUANTITE])</f>
        <v>1.9006366527488412E-4</v>
      </c>
      <c r="E6" s="71">
        <f>C6/D6</f>
        <v>82603.899999999994</v>
      </c>
      <c r="F6" s="69">
        <f>'pricemulti_fsyms=BTC,ETH,SO (2)'!B2</f>
        <v>73879.740000000005</v>
      </c>
      <c r="G6" s="16">
        <f>F6*D6</f>
        <v>14.041854173955468</v>
      </c>
      <c r="H6" s="18">
        <f>G6-C6</f>
        <v>-1.6581458260445316</v>
      </c>
      <c r="I6" s="17">
        <f>(G6-C6)/C6</f>
        <v>-0.10561438382449247</v>
      </c>
      <c r="J6" s="19"/>
      <c r="K6" s="58"/>
      <c r="L6" s="25"/>
    </row>
    <row r="7" spans="1:12" ht="19.5" customHeight="1">
      <c r="A7" s="19"/>
      <c r="B7" s="9" t="str">
        <v>ETH</v>
      </c>
      <c r="C7" s="69">
        <f>SUMIF(Tableau2[TOKEN],T.BORD!B7,Tableau2[MONTANT])</f>
        <v>20.440000000000001</v>
      </c>
      <c r="D7" s="70">
        <f>SUMIF(Tableau2[TOKEN],T.BORD!B7,Tableau2[QUANTITE])</f>
        <v>8.6012093872690331E-3</v>
      </c>
      <c r="E7" s="71">
        <f>C7/D7</f>
        <v>2376.41</v>
      </c>
      <c r="F7" s="69">
        <f>'pricemulti_fsyms=BTC,ETH,SO (2)'!B3</f>
        <v>2012.39</v>
      </c>
      <c r="G7" s="16">
        <f>F7*D7</f>
        <v>17.308987758846332</v>
      </c>
      <c r="H7" s="18">
        <f t="shared" ref="H7:H24" si="0">G7-C7</f>
        <v>-3.1310122411536696</v>
      </c>
      <c r="I7" s="17">
        <f t="shared" ref="I7:I24" si="1">(G7-C7)/C7</f>
        <v>-0.1531806380212167</v>
      </c>
      <c r="J7" s="19"/>
      <c r="K7" s="58"/>
      <c r="L7" s="25"/>
    </row>
    <row r="8" spans="1:12" ht="19.5" customHeight="1">
      <c r="A8" s="19"/>
      <c r="B8" s="15" t="str">
        <v>SOL</v>
      </c>
      <c r="C8" s="69">
        <f>SUMIF(Tableau2[TOKEN],T.BORD!B8,Tableau2[MONTANT])</f>
        <v>15.7003</v>
      </c>
      <c r="D8" s="70">
        <f>SUMIF(Tableau2[TOKEN],T.BORD!B8,Tableau2[QUANTITE])</f>
        <v>0.154</v>
      </c>
      <c r="E8" s="71">
        <f t="shared" ref="E8:E18" si="2">C8/D8</f>
        <v>101.95</v>
      </c>
      <c r="F8" s="69">
        <f>'pricemulti_fsyms=BTC,ETH,SO (2)'!B4</f>
        <v>82.5</v>
      </c>
      <c r="G8" s="16">
        <f>F8*D8</f>
        <v>12.705</v>
      </c>
      <c r="H8" s="18">
        <f t="shared" si="0"/>
        <v>-2.9953000000000003</v>
      </c>
      <c r="I8" s="17">
        <f t="shared" si="1"/>
        <v>-0.19077979401667486</v>
      </c>
      <c r="J8" s="19"/>
      <c r="K8" s="58"/>
      <c r="L8" s="25"/>
    </row>
    <row r="9" spans="1:12" ht="19.5" customHeight="1">
      <c r="A9" s="19"/>
      <c r="B9" s="9" t="str">
        <v>BNB</v>
      </c>
      <c r="C9" s="69">
        <f>SUMIF(Tableau2[TOKEN],T.BORD!B9,Tableau2[MONTANT])</f>
        <v>15.65</v>
      </c>
      <c r="D9" s="70">
        <f>SUMIF(Tableau2[TOKEN],T.BORD!B9,Tableau2[QUANTITE])</f>
        <v>1.8370700786477286E-2</v>
      </c>
      <c r="E9" s="71">
        <f t="shared" si="2"/>
        <v>851.9</v>
      </c>
      <c r="F9" s="69">
        <f>'pricemulti_fsyms=BTC,ETH,SO (2)'!B5</f>
        <v>709.73</v>
      </c>
      <c r="G9" s="16">
        <f t="shared" ref="G9:G24" si="3">F9*D9</f>
        <v>13.038237469186525</v>
      </c>
      <c r="H9" s="18">
        <f t="shared" si="0"/>
        <v>-2.6117625308134755</v>
      </c>
      <c r="I9" s="17">
        <f t="shared" si="1"/>
        <v>-0.16688578471651599</v>
      </c>
      <c r="J9" s="19"/>
      <c r="K9" s="58"/>
      <c r="L9" s="25"/>
    </row>
    <row r="10" spans="1:12" ht="19.5" customHeight="1">
      <c r="A10" s="19"/>
      <c r="B10" s="15" t="str">
        <v>ZEC</v>
      </c>
      <c r="C10" s="69">
        <f>SUMIF(Tableau2[TOKEN],T.BORD!B10,Tableau2[MONTANT])</f>
        <v>10</v>
      </c>
      <c r="D10" s="70">
        <f>SUMIF(Tableau2[TOKEN],T.BORD!B10,Tableau2[QUANTITE])</f>
        <v>1.7015194568749892E-2</v>
      </c>
      <c r="E10" s="71">
        <f t="shared" si="2"/>
        <v>587.71</v>
      </c>
      <c r="F10" s="69">
        <f>'pricemulti_fsyms=BTC,ETH,SO (2)'!B6</f>
        <v>564.92999999999995</v>
      </c>
      <c r="G10" s="16">
        <f t="shared" si="3"/>
        <v>9.6123938677238758</v>
      </c>
      <c r="H10" s="18">
        <f t="shared" si="0"/>
        <v>-0.38760613227612417</v>
      </c>
      <c r="I10" s="17">
        <f t="shared" si="1"/>
        <v>-3.8760613227612414E-2</v>
      </c>
      <c r="J10" s="19"/>
      <c r="K10" s="58"/>
      <c r="L10" s="25"/>
    </row>
    <row r="11" spans="1:12" ht="19.5" customHeight="1">
      <c r="A11" s="19"/>
      <c r="B11" s="9" t="str">
        <v>XRP</v>
      </c>
      <c r="C11" s="69">
        <f>SUMIF(Tableau2[TOKEN],T.BORD!B11,Tableau2[MONTANT])</f>
        <v>10.36</v>
      </c>
      <c r="D11" s="70">
        <f>SUMIF(Tableau2[TOKEN],T.BORD!B11,Tableau2[QUANTITE])</f>
        <v>7.3024599985902583</v>
      </c>
      <c r="E11" s="72">
        <f t="shared" si="2"/>
        <v>1.4187000000000001</v>
      </c>
      <c r="F11" s="167">
        <f>'pricemulti_fsyms=BTC,ETH,SO (2)'!B7</f>
        <v>1.3360000000000001</v>
      </c>
      <c r="G11" s="16">
        <f t="shared" si="3"/>
        <v>9.7560865581165856</v>
      </c>
      <c r="H11" s="18">
        <f t="shared" si="0"/>
        <v>-0.60391344188341378</v>
      </c>
      <c r="I11" s="17">
        <f t="shared" si="1"/>
        <v>-5.829280327059979E-2</v>
      </c>
      <c r="J11" s="19"/>
      <c r="K11" s="58"/>
      <c r="L11" s="25"/>
    </row>
    <row r="12" spans="1:12" ht="19.5" customHeight="1">
      <c r="A12" s="19"/>
      <c r="B12" s="15" t="str">
        <v>DOGE</v>
      </c>
      <c r="C12" s="69">
        <f>SUMIF(Tableau2[TOKEN],T.BORD!B12,Tableau2[MONTANT])</f>
        <v>7.84</v>
      </c>
      <c r="D12" s="70">
        <f>SUMIF(Tableau2[TOKEN],T.BORD!B12,Tableau2[QUANTITE])</f>
        <v>81.000103316458308</v>
      </c>
      <c r="E12" s="72">
        <f t="shared" si="2"/>
        <v>9.6790000000000001E-2</v>
      </c>
      <c r="F12" s="167">
        <f>'pricemulti_fsyms=BTC,ETH,SO (2)'!B8</f>
        <v>0.10050000000000001</v>
      </c>
      <c r="G12" s="16">
        <f t="shared" si="3"/>
        <v>8.1405103833040613</v>
      </c>
      <c r="H12" s="18">
        <f t="shared" si="0"/>
        <v>0.30051038330406143</v>
      </c>
      <c r="I12" s="17">
        <f t="shared" si="1"/>
        <v>3.8330406033681305E-2</v>
      </c>
      <c r="J12" s="19"/>
      <c r="K12" s="58"/>
      <c r="L12" s="25"/>
    </row>
    <row r="13" spans="1:12" ht="19.5" customHeight="1">
      <c r="A13" s="19"/>
      <c r="B13" s="9" t="str">
        <v>ZEN</v>
      </c>
      <c r="C13" s="69">
        <f>SUMIF(Tableau2[TOKEN],T.BORD!B13,Tableau2[MONTANT])</f>
        <v>10.244999999999999</v>
      </c>
      <c r="D13" s="70">
        <f>SUMIF(Tableau2[TOKEN],T.BORD!B13,Tableau2[QUANTITE])</f>
        <v>1.6800590357494261</v>
      </c>
      <c r="E13" s="72">
        <f t="shared" si="2"/>
        <v>6.0979999999999999</v>
      </c>
      <c r="F13" s="167">
        <f>'pricemulti_fsyms=BTC,ETH,SO (2)'!B9</f>
        <v>5.9160000000000004</v>
      </c>
      <c r="G13" s="16">
        <f t="shared" si="3"/>
        <v>9.9392292554936059</v>
      </c>
      <c r="H13" s="18">
        <f t="shared" si="0"/>
        <v>-0.3057707445063933</v>
      </c>
      <c r="I13" s="17">
        <f t="shared" si="1"/>
        <v>-2.9845851098720677E-2</v>
      </c>
      <c r="J13" s="19"/>
      <c r="K13" s="58"/>
      <c r="L13" s="25"/>
    </row>
    <row r="14" spans="1:12" ht="19.5" customHeight="1">
      <c r="A14" s="19"/>
      <c r="B14" s="15" t="str">
        <v>SUI</v>
      </c>
      <c r="C14" s="69">
        <f>SUMIF(Tableau2[TOKEN],T.BORD!B14,Tableau2[MONTANT])</f>
        <v>7.8</v>
      </c>
      <c r="D14" s="70">
        <f>SUMIF(Tableau2[TOKEN],T.BORD!B14,Tableau2[QUANTITE])</f>
        <v>8.3458163920393744</v>
      </c>
      <c r="E14" s="72">
        <f t="shared" si="2"/>
        <v>0.9346000000000001</v>
      </c>
      <c r="F14" s="167">
        <f>'pricemulti_fsyms=BTC,ETH,SO (2)'!B10</f>
        <v>0.89739999999999998</v>
      </c>
      <c r="G14" s="16">
        <f t="shared" si="3"/>
        <v>7.4895356302161344</v>
      </c>
      <c r="H14" s="18">
        <f t="shared" si="0"/>
        <v>-0.31046436978386538</v>
      </c>
      <c r="I14" s="17">
        <f t="shared" si="1"/>
        <v>-3.9803124331264796E-2</v>
      </c>
      <c r="J14" s="19"/>
      <c r="K14" s="58"/>
      <c r="L14" s="25"/>
    </row>
    <row r="15" spans="1:12" ht="19.5" customHeight="1">
      <c r="A15" s="19"/>
      <c r="B15" s="9" t="str">
        <v>TAO</v>
      </c>
      <c r="C15" s="69">
        <f>SUMIF(Tableau2[TOKEN],T.BORD!B15,Tableau2[MONTANT])</f>
        <v>22.666</v>
      </c>
      <c r="D15" s="70">
        <f>SUMIF(Tableau2[TOKEN],T.BORD!B15,Tableau2[QUANTITE])</f>
        <v>7.1301369863013692E-2</v>
      </c>
      <c r="E15" s="71">
        <f>C15/D15</f>
        <v>317.89010566762732</v>
      </c>
      <c r="F15" s="69">
        <f>'pricemulti_fsyms=BTC,ETH,SO (2)'!B11</f>
        <v>256.69</v>
      </c>
      <c r="G15" s="16">
        <f t="shared" si="3"/>
        <v>18.302348630136983</v>
      </c>
      <c r="H15" s="18">
        <f>G15-C15</f>
        <v>-4.3636513698630175</v>
      </c>
      <c r="I15" s="17">
        <f>(G15-C15)/C15</f>
        <v>-0.19251969336729099</v>
      </c>
      <c r="J15" s="19"/>
      <c r="K15" s="58"/>
      <c r="L15" s="25"/>
    </row>
    <row r="16" spans="1:12" ht="19.5" customHeight="1">
      <c r="A16" s="19"/>
      <c r="B16" s="15" t="str">
        <v>ADA</v>
      </c>
      <c r="C16" s="69">
        <f>SUMIF(Tableau2[TOKEN],T.BORD!B16,Tableau2[MONTANT])</f>
        <v>9.8000000000000007</v>
      </c>
      <c r="D16" s="70">
        <f>SUMIF(Tableau2[TOKEN],T.BORD!B16,Tableau2[QUANTITE])</f>
        <v>33.018867924528301</v>
      </c>
      <c r="E16" s="72">
        <f>C16/D16</f>
        <v>0.29680000000000001</v>
      </c>
      <c r="F16" s="167">
        <f>'pricemulti_fsyms=BTC,ETH,SO (2)'!B12</f>
        <v>0.23569999999999999</v>
      </c>
      <c r="G16" s="68">
        <f t="shared" si="3"/>
        <v>7.7825471698113207</v>
      </c>
      <c r="H16" s="18">
        <f>G16-C16</f>
        <v>-2.01745283018868</v>
      </c>
      <c r="I16" s="17">
        <f>(G16-C16)/C16</f>
        <v>-0.20586253369272245</v>
      </c>
      <c r="J16" s="19"/>
      <c r="K16" s="58"/>
      <c r="L16" s="25"/>
    </row>
    <row r="17" spans="1:18" ht="19.5" customHeight="1">
      <c r="A17" s="19"/>
      <c r="B17" s="9" t="str">
        <v>LINK</v>
      </c>
      <c r="C17" s="69">
        <f>SUMIF(Tableau2[TOKEN],T.BORD!B17,Tableau2[MONTANT])</f>
        <v>12.15</v>
      </c>
      <c r="D17" s="70">
        <f>SUMIF(Tableau2[TOKEN],T.BORD!B17,Tableau2[QUANTITE])</f>
        <v>1.25</v>
      </c>
      <c r="E17" s="71">
        <f t="shared" si="2"/>
        <v>9.7200000000000006</v>
      </c>
      <c r="F17" s="69">
        <f>'pricemulti_fsyms=BTC,ETH,SO (2)'!B13</f>
        <v>9.1649999999999991</v>
      </c>
      <c r="G17" s="16">
        <f t="shared" si="3"/>
        <v>11.456249999999999</v>
      </c>
      <c r="H17" s="18">
        <f t="shared" si="0"/>
        <v>-0.69375000000000142</v>
      </c>
      <c r="I17" s="17">
        <f t="shared" si="1"/>
        <v>-5.709876543209888E-2</v>
      </c>
      <c r="J17" s="19"/>
      <c r="K17" s="58"/>
      <c r="L17" s="25"/>
    </row>
    <row r="18" spans="1:18" ht="19.5" customHeight="1">
      <c r="A18" s="19"/>
      <c r="B18" s="15" t="str">
        <v>AVAX</v>
      </c>
      <c r="C18" s="69">
        <f>SUMIF(Tableau2[TOKEN],T.BORD!B18,Tableau2[MONTANT])</f>
        <v>5.31</v>
      </c>
      <c r="D18" s="70">
        <f>SUMIF(Tableau2[TOKEN],T.BORD!B18,Tableau2[QUANTITE])</f>
        <v>0.560126582278481</v>
      </c>
      <c r="E18" s="71">
        <f t="shared" si="2"/>
        <v>9.4799999999999986</v>
      </c>
      <c r="F18" s="69">
        <f>'pricemulti_fsyms=BTC,ETH,SO (2)'!B14</f>
        <v>8.9789999999999992</v>
      </c>
      <c r="G18" s="16">
        <f t="shared" si="3"/>
        <v>5.0293765822784806</v>
      </c>
      <c r="H18" s="18">
        <f t="shared" si="0"/>
        <v>-0.280623417721519</v>
      </c>
      <c r="I18" s="17">
        <f t="shared" si="1"/>
        <v>-5.2848101265822789E-2</v>
      </c>
      <c r="J18" s="19"/>
      <c r="K18" s="58"/>
      <c r="L18" s="25"/>
    </row>
    <row r="19" spans="1:18" ht="19.5" customHeight="1">
      <c r="A19" s="19"/>
      <c r="B19" s="9" t="str">
        <v>XPL</v>
      </c>
      <c r="C19" s="69">
        <f>SUMIF(Tableau2[TOKEN],T.BORD!B19,Tableau2[MONTANT])</f>
        <v>0</v>
      </c>
      <c r="D19" s="70"/>
      <c r="E19" s="72" t="e">
        <f t="shared" ref="E19:E47" si="4">C19/D19</f>
        <v>#DIV/0!</v>
      </c>
      <c r="F19" s="167">
        <f>'pricemulti_fsyms=BTC,ETH,SO (2)'!B15</f>
        <v>9.01E-2</v>
      </c>
      <c r="G19" s="16">
        <f t="shared" si="3"/>
        <v>0</v>
      </c>
      <c r="H19" s="18">
        <f t="shared" si="0"/>
        <v>0</v>
      </c>
      <c r="I19" s="17" t="e">
        <f t="shared" si="1"/>
        <v>#DIV/0!</v>
      </c>
      <c r="J19" s="19">
        <f>SUM(A19:D19)</f>
        <v>0</v>
      </c>
      <c r="K19" s="58"/>
      <c r="L19" s="25"/>
    </row>
    <row r="20" spans="1:18" ht="19.5" customHeight="1">
      <c r="A20" s="19"/>
      <c r="B20" s="15" t="str">
        <v>VIRTUAL</v>
      </c>
      <c r="C20" s="69">
        <f>SUMIF(Tableau2[TOKEN],T.BORD!B20,Tableau2[MONTANT])</f>
        <v>8.2475000000000005</v>
      </c>
      <c r="D20" s="70">
        <f>SUMIF(Tableau2[TOKEN],T.BORD!B20,Tableau2[QUANTITE])</f>
        <v>12.100205399061034</v>
      </c>
      <c r="E20" s="72">
        <f t="shared" si="4"/>
        <v>0.68159999999999998</v>
      </c>
      <c r="F20" s="167">
        <f>'pricemulti_fsyms=BTC,ETH,SO (2)'!B16</f>
        <v>0.72450000000000003</v>
      </c>
      <c r="G20" s="16">
        <f t="shared" si="3"/>
        <v>8.7665988116197191</v>
      </c>
      <c r="H20" s="18">
        <f t="shared" si="0"/>
        <v>0.5190988116197186</v>
      </c>
      <c r="I20" s="17">
        <f t="shared" si="1"/>
        <v>6.294014084507045E-2</v>
      </c>
      <c r="J20" s="19"/>
      <c r="K20" s="58"/>
      <c r="L20" s="25"/>
    </row>
    <row r="21" spans="1:18" ht="19.5" customHeight="1">
      <c r="A21" s="19"/>
      <c r="B21" s="9" t="str">
        <v>PUMP</v>
      </c>
      <c r="C21" s="69">
        <f>SUMIF(Tableau2[TOKEN],T.BORD!B21,Tableau2[MONTANT])</f>
        <v>0</v>
      </c>
      <c r="D21" s="70"/>
      <c r="E21" s="72" t="e">
        <f t="shared" si="4"/>
        <v>#DIV/0!</v>
      </c>
      <c r="F21" s="167">
        <f>'pricemulti_fsyms=BTC,ETH,SO (2)'!B17</f>
        <v>1.8010000000000001E-3</v>
      </c>
      <c r="G21" s="16">
        <f t="shared" si="3"/>
        <v>0</v>
      </c>
      <c r="H21" s="18">
        <f t="shared" si="0"/>
        <v>0</v>
      </c>
      <c r="I21" s="17" t="e">
        <f t="shared" si="1"/>
        <v>#DIV/0!</v>
      </c>
      <c r="J21" s="19"/>
      <c r="K21" s="58"/>
      <c r="L21" s="25"/>
    </row>
    <row r="22" spans="1:18" ht="19.5" customHeight="1">
      <c r="A22" s="19"/>
      <c r="B22" s="15" t="str">
        <v>ENA</v>
      </c>
      <c r="C22" s="69">
        <f>SUMIF(Tableau2[TOKEN],T.BORD!B22,Tableau2[MONTANT])</f>
        <v>7.6021999999999998</v>
      </c>
      <c r="D22" s="70">
        <f>SUMIF(Tableau2[TOKEN],T.BORD!B22,Tableau2[QUANTITE])</f>
        <v>73.380308880308874</v>
      </c>
      <c r="E22" s="72">
        <f t="shared" si="4"/>
        <v>0.10360000000000001</v>
      </c>
      <c r="F22" s="167">
        <f>'pricemulti_fsyms=BTC,ETH,SO (2)'!B18</f>
        <v>8.8389999999999996E-2</v>
      </c>
      <c r="G22" s="16">
        <f t="shared" si="3"/>
        <v>6.4860855019305008</v>
      </c>
      <c r="H22" s="18">
        <f t="shared" si="0"/>
        <v>-1.116114498069499</v>
      </c>
      <c r="I22" s="17">
        <f t="shared" si="1"/>
        <v>-0.14681467181467195</v>
      </c>
      <c r="J22" s="19"/>
      <c r="K22" s="58"/>
      <c r="L22" s="25"/>
    </row>
    <row r="23" spans="1:18" ht="19.5" customHeight="1">
      <c r="A23" s="19"/>
      <c r="B23" s="9" t="str">
        <v>WLD</v>
      </c>
      <c r="C23" s="69">
        <f>SUMIF(Tableau2[TOKEN],T.BORD!B23,Tableau2[MONTANT])</f>
        <v>7.9459999999999997</v>
      </c>
      <c r="D23" s="70">
        <f>SUMIF(Tableau2[TOKEN],T.BORD!B23,Tableau2[QUANTITE])</f>
        <v>24.800249687890137</v>
      </c>
      <c r="E23" s="72">
        <f t="shared" si="4"/>
        <v>0.32040000000000002</v>
      </c>
      <c r="F23" s="167">
        <f>'pricemulti_fsyms=BTC,ETH,SO (2)'!B19</f>
        <v>0.3493</v>
      </c>
      <c r="G23" s="16">
        <f t="shared" si="3"/>
        <v>8.6627272159800253</v>
      </c>
      <c r="H23" s="18">
        <f t="shared" si="0"/>
        <v>0.71672721598002553</v>
      </c>
      <c r="I23" s="17">
        <f t="shared" si="1"/>
        <v>9.019975031210993E-2</v>
      </c>
      <c r="J23" s="19"/>
      <c r="K23" s="58"/>
      <c r="L23" s="25"/>
    </row>
    <row r="24" spans="1:18" ht="19.5" customHeight="1">
      <c r="A24" s="19"/>
      <c r="B24" s="15" t="str">
        <v>NEAR</v>
      </c>
      <c r="C24" s="69">
        <f>SUMIF(Tableau2[TOKEN],T.BORD!B24,Tableau2[MONTANT])</f>
        <v>5.7</v>
      </c>
      <c r="D24" s="70">
        <f>SUMIF(Tableau2[TOKEN],T.BORD!B24,Tableau2[QUANTITE])</f>
        <v>4.4049459041731067</v>
      </c>
      <c r="E24" s="72">
        <f t="shared" si="4"/>
        <v>1.294</v>
      </c>
      <c r="F24" s="167">
        <f>'pricemulti_fsyms=BTC,ETH,SO (2)'!B20</f>
        <v>2.3330000000000002</v>
      </c>
      <c r="G24" s="16">
        <f t="shared" si="3"/>
        <v>10.276738794435859</v>
      </c>
      <c r="H24" s="18">
        <f t="shared" si="0"/>
        <v>4.5767387944358591</v>
      </c>
      <c r="I24" s="17">
        <f t="shared" si="1"/>
        <v>0.80293663060278231</v>
      </c>
      <c r="J24" s="19"/>
      <c r="K24" s="58"/>
      <c r="L24" s="25"/>
    </row>
    <row r="25" spans="1:18" ht="19.5" customHeight="1">
      <c r="A25" s="19"/>
      <c r="B25" s="9" t="str">
        <v>AAVE</v>
      </c>
      <c r="C25" s="69">
        <f>SUMIF(Tableau2[TOKEN],T.BORD!B25,Tableau2[MONTANT])</f>
        <v>8.91</v>
      </c>
      <c r="D25" s="70">
        <f>SUMIF(Tableau2[TOKEN],T.BORD!B25,Tableau2[QUANTITE])</f>
        <v>9.0018185492018593E-2</v>
      </c>
      <c r="E25" s="71">
        <f t="shared" si="4"/>
        <v>98.98</v>
      </c>
      <c r="F25" s="69">
        <f>'pricemulti_fsyms=BTC,ETH,SO (2)'!B21</f>
        <v>82.32</v>
      </c>
      <c r="G25" s="16">
        <f t="shared" ref="G25:G47" si="5">F25*D25</f>
        <v>7.4102970297029698</v>
      </c>
      <c r="H25" s="18">
        <f t="shared" ref="H25:H47" si="6">G25-C25</f>
        <v>-1.4997029702970304</v>
      </c>
      <c r="I25" s="17">
        <f t="shared" ref="I25:I47" si="7">(G25-C25)/C25</f>
        <v>-0.16831683168316838</v>
      </c>
      <c r="J25" s="19"/>
      <c r="K25" s="58"/>
      <c r="L25" s="25"/>
    </row>
    <row r="26" spans="1:18" ht="19.5" customHeight="1">
      <c r="A26" s="19"/>
      <c r="B26" s="15" t="str">
        <v>ARB</v>
      </c>
      <c r="C26" s="69">
        <f>SUMIF(Tableau2[TOKEN],T.BORD!B26,Tableau2[MONTANT])</f>
        <v>0</v>
      </c>
      <c r="D26" s="70"/>
      <c r="E26" s="73" t="e">
        <f t="shared" si="4"/>
        <v>#DIV/0!</v>
      </c>
      <c r="F26" s="167">
        <f>'pricemulti_fsyms=BTC,ETH,SO (2)'!B22</f>
        <v>0.104</v>
      </c>
      <c r="G26" s="16">
        <f t="shared" si="5"/>
        <v>0</v>
      </c>
      <c r="H26" s="18">
        <f t="shared" si="6"/>
        <v>0</v>
      </c>
      <c r="I26" s="17" t="e">
        <f t="shared" si="7"/>
        <v>#DIV/0!</v>
      </c>
      <c r="J26" s="19"/>
      <c r="K26" s="58"/>
      <c r="L26" s="25"/>
    </row>
    <row r="27" spans="1:18" ht="19.5" customHeight="1">
      <c r="A27" s="19"/>
      <c r="B27" s="9" t="str">
        <v>PENGU</v>
      </c>
      <c r="C27" s="69">
        <f>SUMIF(Tableau2[TOKEN],T.BORD!B27,Tableau2[MONTANT])</f>
        <v>0</v>
      </c>
      <c r="D27" s="70"/>
      <c r="E27" s="73" t="e">
        <f t="shared" si="4"/>
        <v>#DIV/0!</v>
      </c>
      <c r="F27" s="167">
        <f>'pricemulti_fsyms=BTC,ETH,SO (2)'!B23</f>
        <v>7.9459999999999999E-3</v>
      </c>
      <c r="G27" s="16">
        <f t="shared" si="5"/>
        <v>0</v>
      </c>
      <c r="H27" s="18">
        <f t="shared" si="6"/>
        <v>0</v>
      </c>
      <c r="I27" s="17" t="e">
        <f t="shared" si="7"/>
        <v>#DIV/0!</v>
      </c>
      <c r="J27" s="19"/>
      <c r="K27" s="58"/>
      <c r="L27" s="25"/>
    </row>
    <row r="28" spans="1:18" ht="19.5" customHeight="1">
      <c r="A28" s="19"/>
      <c r="B28" s="15" t="str">
        <v>WLFI</v>
      </c>
      <c r="C28" s="69">
        <f>SUMIF(Tableau2[TOKEN],T.BORD!B28,Tableau2[MONTANT])</f>
        <v>0</v>
      </c>
      <c r="D28" s="70"/>
      <c r="E28" s="73" t="e">
        <f t="shared" si="4"/>
        <v>#DIV/0!</v>
      </c>
      <c r="F28" s="167">
        <f>'pricemulti_fsyms=BTC,ETH,SO (2)'!B24</f>
        <v>5.9310000000000002E-2</v>
      </c>
      <c r="G28" s="16">
        <f t="shared" si="5"/>
        <v>0</v>
      </c>
      <c r="H28" s="18">
        <f t="shared" si="6"/>
        <v>0</v>
      </c>
      <c r="I28" s="17" t="e">
        <f t="shared" si="7"/>
        <v>#DIV/0!</v>
      </c>
      <c r="J28" s="19"/>
      <c r="K28" s="58"/>
      <c r="L28" s="25"/>
    </row>
    <row r="29" spans="1:18" s="35" customFormat="1" ht="19.5" customHeight="1">
      <c r="A29" s="31"/>
      <c r="B29" s="32" t="str">
        <v>ONDO</v>
      </c>
      <c r="C29" s="69">
        <f>SUMIF(Tableau2[TOKEN],T.BORD!B29,Tableau2[MONTANT])</f>
        <v>0</v>
      </c>
      <c r="D29" s="70"/>
      <c r="E29" s="73" t="e">
        <f t="shared" si="4"/>
        <v>#DIV/0!</v>
      </c>
      <c r="F29" s="167">
        <f>'pricemulti_fsyms=BTC,ETH,SO (2)'!B25</f>
        <v>0.36370000000000002</v>
      </c>
      <c r="G29" s="16">
        <f t="shared" si="5"/>
        <v>0</v>
      </c>
      <c r="H29" s="18">
        <f t="shared" si="6"/>
        <v>0</v>
      </c>
      <c r="I29" s="17" t="e">
        <f t="shared" si="7"/>
        <v>#DIV/0!</v>
      </c>
      <c r="J29" s="31"/>
      <c r="K29" s="61"/>
      <c r="L29" s="33"/>
      <c r="M29" s="34"/>
      <c r="N29" s="34"/>
      <c r="O29" s="34"/>
      <c r="P29" s="34"/>
      <c r="Q29" s="34"/>
      <c r="R29" s="34"/>
    </row>
    <row r="30" spans="1:18" ht="19.5" customHeight="1">
      <c r="A30" s="19"/>
      <c r="B30" s="15" t="str">
        <v>ATOM</v>
      </c>
      <c r="C30" s="69">
        <f>SUMIF(Tableau2[TOKEN],T.BORD!B30,Tableau2[MONTANT])</f>
        <v>10.534000000000001</v>
      </c>
      <c r="D30" s="70">
        <f>SUMIF(Tableau2[TOKEN],T.BORD!B30,Tableau2[QUANTITE])</f>
        <v>5.8102592388306675</v>
      </c>
      <c r="E30" s="71">
        <f t="shared" si="4"/>
        <v>1.8130000000000002</v>
      </c>
      <c r="F30" s="167">
        <f>'pricemulti_fsyms=BTC,ETH,SO (2)'!B26</f>
        <v>1.9510000000000001</v>
      </c>
      <c r="G30" s="16">
        <f t="shared" si="5"/>
        <v>11.335815774958633</v>
      </c>
      <c r="H30" s="18">
        <f t="shared" si="6"/>
        <v>0.80181577495863188</v>
      </c>
      <c r="I30" s="17">
        <f t="shared" si="7"/>
        <v>7.6116933259790381E-2</v>
      </c>
      <c r="J30" s="19"/>
      <c r="K30" s="58"/>
      <c r="L30" s="25"/>
    </row>
    <row r="31" spans="1:18" ht="19.5" customHeight="1">
      <c r="A31" s="19"/>
      <c r="B31" s="9" t="str">
        <v>AR</v>
      </c>
      <c r="C31" s="69">
        <f>SUMIF(Tableau2[TOKEN],T.BORD!B31,Tableau2[MONTANT])</f>
        <v>0</v>
      </c>
      <c r="D31" s="70"/>
      <c r="E31" s="73" t="e">
        <f t="shared" si="4"/>
        <v>#DIV/0!</v>
      </c>
      <c r="F31" s="167">
        <f>'pricemulti_fsyms=BTC,ETH,SO (2)'!B27</f>
        <v>2.2469999999999999</v>
      </c>
      <c r="G31" s="16">
        <f t="shared" si="5"/>
        <v>0</v>
      </c>
      <c r="H31" s="18">
        <f t="shared" si="6"/>
        <v>0</v>
      </c>
      <c r="I31" s="17" t="e">
        <f t="shared" si="7"/>
        <v>#DIV/0!</v>
      </c>
      <c r="J31" s="19"/>
      <c r="K31" s="58"/>
      <c r="L31" s="25"/>
    </row>
    <row r="32" spans="1:18" ht="19.5" customHeight="1">
      <c r="A32" s="19"/>
      <c r="B32" s="15" t="str">
        <v>TIA</v>
      </c>
      <c r="C32" s="69">
        <f>SUMIF(Tableau2[TOKEN],T.BORD!B32,Tableau2[MONTANT])</f>
        <v>0</v>
      </c>
      <c r="D32" s="70"/>
      <c r="E32" s="73" t="e">
        <f t="shared" si="4"/>
        <v>#DIV/0!</v>
      </c>
      <c r="F32" s="167">
        <f>'pricemulti_fsyms=BTC,ETH,SO (2)'!B28</f>
        <v>0.4012</v>
      </c>
      <c r="G32" s="16">
        <f t="shared" si="5"/>
        <v>0</v>
      </c>
      <c r="H32" s="18">
        <f t="shared" si="6"/>
        <v>0</v>
      </c>
      <c r="I32" s="17" t="e">
        <f t="shared" si="7"/>
        <v>#DIV/0!</v>
      </c>
      <c r="J32" s="19"/>
      <c r="K32" s="58"/>
      <c r="L32" s="25"/>
    </row>
    <row r="33" spans="1:12" ht="19.5" customHeight="1">
      <c r="A33" s="19"/>
      <c r="B33" s="9" t="str">
        <v>INJ</v>
      </c>
      <c r="C33" s="69">
        <f>SUMIF(Tableau2[TOKEN],T.BORD!B33,Tableau2[MONTANT])</f>
        <v>8.8000000000000007</v>
      </c>
      <c r="D33" s="70">
        <f>SUMIF(Tableau2[TOKEN],T.BORD!B33,Tableau2[QUANTITE])</f>
        <v>1.5071073814009248</v>
      </c>
      <c r="E33" s="72">
        <f t="shared" si="4"/>
        <v>5.8390000000000004</v>
      </c>
      <c r="F33" s="167">
        <f>'pricemulti_fsyms=BTC,ETH,SO (2)'!B29</f>
        <v>6.5609999999999999</v>
      </c>
      <c r="G33" s="16">
        <f t="shared" si="5"/>
        <v>9.8881315293714671</v>
      </c>
      <c r="H33" s="18">
        <f t="shared" si="6"/>
        <v>1.0881315293714664</v>
      </c>
      <c r="I33" s="17">
        <f t="shared" si="7"/>
        <v>0.12365131015584845</v>
      </c>
      <c r="J33" s="19"/>
      <c r="K33" s="58"/>
      <c r="L33" s="25"/>
    </row>
    <row r="34" spans="1:12" ht="19.5" customHeight="1">
      <c r="A34" s="19"/>
      <c r="B34" s="15" t="str">
        <v>FET</v>
      </c>
      <c r="C34" s="69">
        <f>SUMIF(Tableau2[TOKEN],T.BORD!B34,Tableau2[MONTANT])</f>
        <v>8.6135000000000002</v>
      </c>
      <c r="D34" s="70">
        <f>SUMIF(Tableau2[TOKEN],T.BORD!B34,Tableau2[QUANTITE])</f>
        <v>36.100167644593462</v>
      </c>
      <c r="E34" s="73">
        <f t="shared" si="4"/>
        <v>0.23860000000000001</v>
      </c>
      <c r="F34" s="167">
        <f>'pricemulti_fsyms=BTC,ETH,SO (2)'!B30</f>
        <v>0.26840000000000003</v>
      </c>
      <c r="G34" s="16">
        <f t="shared" si="5"/>
        <v>9.6892849958088867</v>
      </c>
      <c r="H34" s="18">
        <f t="shared" si="6"/>
        <v>1.0757849958088865</v>
      </c>
      <c r="I34" s="17">
        <f t="shared" si="7"/>
        <v>0.12489522212908649</v>
      </c>
      <c r="J34" s="19"/>
      <c r="K34" s="58"/>
      <c r="L34" s="25"/>
    </row>
    <row r="35" spans="1:12" ht="19.5" customHeight="1">
      <c r="A35" s="19"/>
      <c r="B35" s="9" t="str">
        <v>RENDER</v>
      </c>
      <c r="C35" s="69">
        <f>SUMIF(Tableau2[TOKEN],T.BORD!B35,Tableau2[MONTANT])</f>
        <v>8.25</v>
      </c>
      <c r="D35" s="70">
        <f>SUMIF(Tableau2[TOKEN],T.BORD!B35,Tableau2[QUANTITE])</f>
        <v>4.1519879214896829</v>
      </c>
      <c r="E35" s="73">
        <f t="shared" si="4"/>
        <v>1.9870000000000001</v>
      </c>
      <c r="F35" s="167">
        <f>'pricemulti_fsyms=BTC,ETH,SO (2)'!B31</f>
        <v>2.093</v>
      </c>
      <c r="G35" s="16">
        <f t="shared" si="5"/>
        <v>8.6901107196779055</v>
      </c>
      <c r="H35" s="18">
        <f t="shared" si="6"/>
        <v>0.44011071967790549</v>
      </c>
      <c r="I35" s="17">
        <f t="shared" si="7"/>
        <v>5.3346753900352178E-2</v>
      </c>
      <c r="J35" s="19"/>
      <c r="K35" s="58"/>
      <c r="L35" s="25"/>
    </row>
    <row r="36" spans="1:12" ht="19.5" customHeight="1">
      <c r="A36" s="19"/>
      <c r="B36" s="15" t="str">
        <v>NMR</v>
      </c>
      <c r="C36" s="69">
        <f>SUMIF(Tableau2[TOKEN],T.BORD!B36,Tableau2[MONTANT])</f>
        <v>0</v>
      </c>
      <c r="D36" s="70"/>
      <c r="E36" s="73" t="e">
        <f t="shared" si="4"/>
        <v>#DIV/0!</v>
      </c>
      <c r="F36" s="167">
        <f>'pricemulti_fsyms=BTC,ETH,SO (2)'!B32</f>
        <v>8.65</v>
      </c>
      <c r="G36" s="16">
        <f t="shared" si="5"/>
        <v>0</v>
      </c>
      <c r="H36" s="18">
        <f t="shared" si="6"/>
        <v>0</v>
      </c>
      <c r="I36" s="17" t="e">
        <f t="shared" si="7"/>
        <v>#DIV/0!</v>
      </c>
      <c r="J36" s="19"/>
      <c r="K36" s="58"/>
      <c r="L36" s="25"/>
    </row>
    <row r="37" spans="1:12" ht="19.5" customHeight="1">
      <c r="A37" s="19"/>
      <c r="B37" s="9" t="str">
        <v>PYTH</v>
      </c>
      <c r="C37" s="69">
        <f>SUMIF(Tableau2[TOKEN],T.BORD!B37,Tableau2[MONTANT])</f>
        <v>0</v>
      </c>
      <c r="D37" s="70"/>
      <c r="E37" s="74" t="e">
        <f t="shared" si="4"/>
        <v>#DIV/0!</v>
      </c>
      <c r="F37" s="167">
        <f>'pricemulti_fsyms=BTC,ETH,SO (2)'!B33</f>
        <v>4.129E-2</v>
      </c>
      <c r="G37" s="16">
        <f t="shared" si="5"/>
        <v>0</v>
      </c>
      <c r="H37" s="18">
        <f t="shared" si="6"/>
        <v>0</v>
      </c>
      <c r="I37" s="17" t="e">
        <f t="shared" si="7"/>
        <v>#DIV/0!</v>
      </c>
      <c r="J37" s="19"/>
      <c r="K37" s="58"/>
      <c r="L37" s="25"/>
    </row>
    <row r="38" spans="1:12" ht="19.5" customHeight="1">
      <c r="A38" s="19"/>
      <c r="B38" s="15" t="str">
        <v>W</v>
      </c>
      <c r="C38" s="69">
        <f>SUMIF(Tableau2[TOKEN],T.BORD!B38,Tableau2[MONTANT])</f>
        <v>12.012499999999999</v>
      </c>
      <c r="D38" s="70">
        <f>SUMIF(Tableau2[TOKEN],T.BORD!B38,Tableau2[QUANTITE])</f>
        <v>931.20155038759685</v>
      </c>
      <c r="E38" s="73">
        <f t="shared" si="4"/>
        <v>1.29E-2</v>
      </c>
      <c r="F38" s="181">
        <f>'pricemulti_fsyms=BTC,ETH,SO (2)'!B34</f>
        <v>1.191E-2</v>
      </c>
      <c r="G38" s="16">
        <f t="shared" si="5"/>
        <v>11.09061046511628</v>
      </c>
      <c r="H38" s="18">
        <f t="shared" si="6"/>
        <v>-0.92188953488371972</v>
      </c>
      <c r="I38" s="17">
        <f t="shared" si="7"/>
        <v>-7.6744186046511537E-2</v>
      </c>
      <c r="J38" s="19"/>
      <c r="K38" s="58"/>
      <c r="L38" s="25"/>
    </row>
    <row r="39" spans="1:12" ht="19.5" customHeight="1">
      <c r="A39" s="19"/>
      <c r="B39" s="9" t="str">
        <v>GRT</v>
      </c>
      <c r="C39" s="69">
        <f>SUMIF(Tableau2[TOKEN],T.BORD!B39,Tableau2[MONTANT])</f>
        <v>10.199999999999999</v>
      </c>
      <c r="D39" s="70">
        <f>SUMIF(Tableau2[TOKEN],T.BORD!B39,Tableau2[QUANTITE])</f>
        <v>396.11650485436894</v>
      </c>
      <c r="E39" s="74">
        <f t="shared" si="4"/>
        <v>2.5749999999999999E-2</v>
      </c>
      <c r="F39" s="172">
        <f>'pricemulti_fsyms=BTC,ETH,SO (2)'!B35</f>
        <v>2.5999999999999999E-2</v>
      </c>
      <c r="G39" s="16">
        <f t="shared" si="5"/>
        <v>10.299029126213592</v>
      </c>
      <c r="H39" s="18">
        <f t="shared" si="6"/>
        <v>9.9029126213592278E-2</v>
      </c>
      <c r="I39" s="17">
        <f t="shared" si="7"/>
        <v>9.7087378640776743E-3</v>
      </c>
      <c r="J39" s="19"/>
      <c r="K39" s="58"/>
      <c r="L39" s="25"/>
    </row>
    <row r="40" spans="1:12" ht="18.75" customHeight="1">
      <c r="A40" s="19"/>
      <c r="B40" s="15" t="str">
        <v>QNT</v>
      </c>
      <c r="C40" s="69">
        <f>SUMIF(Tableau2[TOKEN],T.BORD!B40,Tableau2[MONTANT])</f>
        <v>0</v>
      </c>
      <c r="D40" s="70"/>
      <c r="E40" s="74" t="e">
        <f t="shared" si="4"/>
        <v>#DIV/0!</v>
      </c>
      <c r="F40" s="69">
        <f>'pricemulti_fsyms=BTC,ETH,SO (2)'!B36</f>
        <v>71.569999999999993</v>
      </c>
      <c r="G40" s="16">
        <f t="shared" si="5"/>
        <v>0</v>
      </c>
      <c r="H40" s="18">
        <f t="shared" si="6"/>
        <v>0</v>
      </c>
      <c r="I40" s="17" t="e">
        <f t="shared" si="7"/>
        <v>#DIV/0!</v>
      </c>
      <c r="J40" s="19"/>
      <c r="K40" s="58"/>
      <c r="L40" s="25"/>
    </row>
    <row r="41" spans="1:12" ht="18.75" customHeight="1">
      <c r="A41" s="19"/>
      <c r="B41" s="165" t="str">
        <v>AXL</v>
      </c>
      <c r="C41" s="69">
        <f>SUMIF(Tableau2[TOKEN],T.BORD!B41,Tableau2[MONTANT])</f>
        <v>0</v>
      </c>
      <c r="D41" s="70"/>
      <c r="E41" s="75" t="e">
        <f t="shared" si="4"/>
        <v>#DIV/0!</v>
      </c>
      <c r="F41" s="167">
        <f>'pricemulti_fsyms=BTC,ETH,SO (2)'!B37</f>
        <v>5.5010000000000003E-2</v>
      </c>
      <c r="G41" s="16">
        <f t="shared" si="5"/>
        <v>0</v>
      </c>
      <c r="H41" s="18">
        <f t="shared" si="6"/>
        <v>0</v>
      </c>
      <c r="I41" s="17" t="e">
        <f t="shared" si="7"/>
        <v>#DIV/0!</v>
      </c>
      <c r="J41" s="19"/>
      <c r="K41" s="58"/>
      <c r="L41" s="25"/>
    </row>
    <row r="42" spans="1:12" ht="18.75" customHeight="1">
      <c r="A42" s="19"/>
      <c r="B42" s="15" t="str">
        <v>ILV</v>
      </c>
      <c r="C42" s="69">
        <f>SUMIF(Tableau2[TOKEN],T.BORD!B42,Tableau2[MONTANT])</f>
        <v>0</v>
      </c>
      <c r="D42" s="70"/>
      <c r="E42" s="75" t="e">
        <f t="shared" si="4"/>
        <v>#DIV/0!</v>
      </c>
      <c r="F42" s="167">
        <f>'pricemulti_fsyms=BTC,ETH,SO (2)'!B38</f>
        <v>4.1109999999999998</v>
      </c>
      <c r="G42" s="16">
        <f t="shared" si="5"/>
        <v>0</v>
      </c>
      <c r="H42" s="18">
        <f t="shared" si="6"/>
        <v>0</v>
      </c>
      <c r="I42" s="17" t="e">
        <f t="shared" si="7"/>
        <v>#DIV/0!</v>
      </c>
      <c r="J42" s="19"/>
      <c r="K42" s="58"/>
      <c r="L42" s="25"/>
    </row>
    <row r="43" spans="1:12" ht="18.75" customHeight="1">
      <c r="A43" s="19"/>
      <c r="B43" s="165" t="str">
        <v>QTUM</v>
      </c>
      <c r="C43" s="69">
        <f>SUMIF(Tableau2[TOKEN],T.BORD!B43,Tableau2[MONTANT])</f>
        <v>0</v>
      </c>
      <c r="D43" s="70"/>
      <c r="E43" s="75" t="e">
        <f t="shared" si="4"/>
        <v>#DIV/0!</v>
      </c>
      <c r="F43" s="167">
        <f>'pricemulti_fsyms=BTC,ETH,SO (2)'!B39</f>
        <v>0.87109999999999999</v>
      </c>
      <c r="G43" s="16">
        <f t="shared" si="5"/>
        <v>0</v>
      </c>
      <c r="H43" s="18">
        <f t="shared" si="6"/>
        <v>0</v>
      </c>
      <c r="I43" s="17" t="e">
        <f t="shared" si="7"/>
        <v>#DIV/0!</v>
      </c>
      <c r="J43" s="19"/>
      <c r="K43" s="58"/>
      <c r="L43" s="25"/>
    </row>
    <row r="44" spans="1:12" ht="15.75" customHeight="1">
      <c r="A44" s="58"/>
      <c r="B44" s="15" t="str">
        <v>LTC</v>
      </c>
      <c r="C44" s="69">
        <f>SUMIF(Tableau2[TOKEN],T.BORD!B44,Tableau2[MONTANT])</f>
        <v>11.26</v>
      </c>
      <c r="D44" s="70">
        <f>SUMIF(Tableau2[TOKEN],T.BORD!B44,Tableau2[QUANTITE])</f>
        <v>0.20506283008559462</v>
      </c>
      <c r="E44" s="169">
        <f t="shared" si="4"/>
        <v>54.91</v>
      </c>
      <c r="F44" s="69">
        <f>'pricemulti_fsyms=BTC,ETH,SO (2)'!B40</f>
        <v>52.15</v>
      </c>
      <c r="G44" s="16">
        <f t="shared" si="5"/>
        <v>10.694026588963759</v>
      </c>
      <c r="H44" s="18">
        <f t="shared" si="6"/>
        <v>-0.5659734110362411</v>
      </c>
      <c r="I44" s="17">
        <f t="shared" si="7"/>
        <v>-5.0264068475687484E-2</v>
      </c>
      <c r="J44" s="19"/>
      <c r="K44" s="58"/>
      <c r="L44" s="25"/>
    </row>
    <row r="45" spans="1:12" ht="15.75" customHeight="1">
      <c r="A45" s="58"/>
      <c r="B45" s="165" t="str">
        <v>PEPE</v>
      </c>
      <c r="C45" s="69">
        <f>SUMIF(Tableau2[TOKEN],T.BORD!B45,Tableau2[MONTANT])</f>
        <v>5.1153000000000004</v>
      </c>
      <c r="D45" s="171">
        <f>SUMIF(Tableau2[TOKEN],T.BORD!B45,Tableau2[QUANTITE])</f>
        <v>1121776.3157894737</v>
      </c>
      <c r="E45" s="75">
        <f t="shared" si="4"/>
        <v>4.5600000000000004E-6</v>
      </c>
      <c r="F45" s="166">
        <f>'pricemulti_fsyms=BTC,ETH,SO (2)'!B41</f>
        <v>3.4300000000000002E-6</v>
      </c>
      <c r="G45" s="16">
        <f t="shared" si="5"/>
        <v>3.847692763157895</v>
      </c>
      <c r="H45" s="18">
        <f t="shared" si="6"/>
        <v>-1.2676072368421054</v>
      </c>
      <c r="I45" s="17">
        <f t="shared" si="7"/>
        <v>-0.24780701754385967</v>
      </c>
      <c r="J45" s="19"/>
      <c r="K45" s="58"/>
      <c r="L45" s="25"/>
    </row>
    <row r="46" spans="1:12" ht="15.75" customHeight="1">
      <c r="A46" s="58"/>
      <c r="B46" s="15" t="str">
        <v>ANKR</v>
      </c>
      <c r="C46" s="69">
        <f>SUMIF(Tableau2[TOKEN],T.BORD!B46,Tableau2[MONTANT])</f>
        <v>7.73</v>
      </c>
      <c r="D46" s="171">
        <f>SUMIF(Tableau2[TOKEN],T.BORD!B46,Tableau2[QUANTITE])</f>
        <v>1405.4545454545457</v>
      </c>
      <c r="E46" s="74">
        <f t="shared" si="4"/>
        <v>5.4999999999999997E-3</v>
      </c>
      <c r="F46" s="172">
        <f>'pricemulti_fsyms=BTC,ETH,SO (2)'!B42</f>
        <v>4.6360000000000004E-3</v>
      </c>
      <c r="G46" s="16">
        <f t="shared" si="5"/>
        <v>6.5156872727272743</v>
      </c>
      <c r="H46" s="18">
        <f t="shared" si="6"/>
        <v>-1.2143127272727261</v>
      </c>
      <c r="I46" s="17">
        <f t="shared" si="7"/>
        <v>-0.15709090909090892</v>
      </c>
      <c r="J46" s="19"/>
      <c r="K46" s="58"/>
      <c r="L46" s="25"/>
    </row>
    <row r="47" spans="1:12" ht="15.75" customHeight="1">
      <c r="A47" s="58"/>
      <c r="B47" s="165" t="str">
        <v>RSR</v>
      </c>
      <c r="C47" s="69">
        <f>SUMIF(Tableau2[TOKEN],T.BORD!B47,Tableau2[MONTANT])</f>
        <v>7.6033099999999996</v>
      </c>
      <c r="D47" s="179">
        <f>SUMIF(Tableau2[TOKEN],T.BORD!B47,Tableau2[QUANTITE])</f>
        <v>4498.9999999999991</v>
      </c>
      <c r="E47" s="74">
        <f t="shared" si="4"/>
        <v>1.6900000000000003E-3</v>
      </c>
      <c r="F47" s="172">
        <f>'pricemulti_fsyms=BTC,ETH,SO (2)'!B43</f>
        <v>1.6299999999999999E-3</v>
      </c>
      <c r="G47" s="16">
        <f t="shared" si="5"/>
        <v>7.3333699999999986</v>
      </c>
      <c r="H47" s="18">
        <f t="shared" si="6"/>
        <v>-0.26994000000000096</v>
      </c>
      <c r="I47" s="17">
        <f t="shared" si="7"/>
        <v>-3.5502958579881783E-2</v>
      </c>
      <c r="J47" s="19"/>
      <c r="K47" s="58"/>
      <c r="L47" s="25"/>
    </row>
    <row r="48" spans="1:12" ht="15.75" customHeight="1">
      <c r="A48" s="58"/>
      <c r="B48" s="15">
        <v>0</v>
      </c>
      <c r="C48" s="69"/>
      <c r="D48" s="70"/>
      <c r="E48" s="75"/>
      <c r="F48" s="69"/>
      <c r="G48" s="16"/>
      <c r="H48" s="18"/>
      <c r="I48" s="17"/>
      <c r="J48" s="19"/>
      <c r="K48" s="58"/>
      <c r="L48" s="25"/>
    </row>
    <row r="49" spans="1:12" ht="15.75" customHeight="1">
      <c r="A49" s="58"/>
      <c r="B49" s="63"/>
      <c r="C49" s="63"/>
      <c r="D49" s="64"/>
      <c r="E49" s="65"/>
      <c r="F49" s="59"/>
      <c r="G49" s="66"/>
      <c r="H49" s="67"/>
      <c r="I49" s="62"/>
      <c r="J49" s="58"/>
      <c r="K49" s="58"/>
      <c r="L49" s="25"/>
    </row>
    <row r="50" spans="1:12" ht="23.25">
      <c r="A50" s="19"/>
      <c r="B50" s="47"/>
      <c r="C50" s="48"/>
      <c r="D50" s="49"/>
      <c r="E50" s="50"/>
      <c r="F50" s="51"/>
      <c r="G50" s="52"/>
      <c r="H50" s="53"/>
      <c r="I50" s="54"/>
      <c r="J50" s="25"/>
      <c r="K50" s="25"/>
      <c r="L50" s="25"/>
    </row>
    <row r="51" spans="1:12" ht="23.25">
      <c r="A51" s="19"/>
      <c r="B51" s="47"/>
      <c r="C51" s="48"/>
      <c r="D51" s="49"/>
      <c r="E51" s="50"/>
      <c r="F51" s="51"/>
      <c r="G51" s="52"/>
      <c r="H51" s="53"/>
      <c r="I51" s="54"/>
      <c r="J51" s="25"/>
      <c r="K51" s="25"/>
      <c r="L51" s="25"/>
    </row>
    <row r="52" spans="1:12" ht="23.25">
      <c r="A52" s="19"/>
      <c r="B52" s="47"/>
      <c r="C52" s="48"/>
      <c r="D52" s="49"/>
      <c r="E52" s="50"/>
      <c r="F52" s="51"/>
      <c r="G52" s="52"/>
      <c r="H52" s="53"/>
      <c r="I52" s="54"/>
      <c r="J52" s="25"/>
      <c r="K52" s="25"/>
      <c r="L52" s="25"/>
    </row>
    <row r="53" spans="1:12">
      <c r="A53" s="19"/>
      <c r="B53" s="47"/>
      <c r="C53" s="47"/>
      <c r="D53" s="55"/>
      <c r="E53" s="55"/>
      <c r="F53" s="55"/>
      <c r="G53" s="56"/>
      <c r="H53" s="47"/>
      <c r="I53" s="57"/>
      <c r="J53" s="25"/>
      <c r="K53" s="25"/>
      <c r="L53" s="25"/>
    </row>
    <row r="54" spans="1:12">
      <c r="A54" s="19"/>
      <c r="B54" s="47"/>
      <c r="C54" s="47"/>
      <c r="D54" s="55"/>
      <c r="E54" s="55"/>
      <c r="F54" s="55"/>
      <c r="G54" s="56"/>
      <c r="H54" s="47"/>
      <c r="I54" s="57"/>
      <c r="J54" s="25"/>
      <c r="K54" s="25"/>
      <c r="L54" s="25"/>
    </row>
    <row r="55" spans="1:12">
      <c r="A55" s="19"/>
      <c r="B55" s="47"/>
      <c r="C55" s="47"/>
      <c r="D55" s="55"/>
      <c r="E55" s="55"/>
      <c r="F55" s="55"/>
      <c r="G55" s="56"/>
      <c r="H55" s="47"/>
      <c r="I55" s="57"/>
      <c r="J55" s="25"/>
      <c r="K55" s="25"/>
      <c r="L55" s="25"/>
    </row>
    <row r="56" spans="1:12">
      <c r="A56" s="19"/>
      <c r="B56" s="47"/>
      <c r="C56" s="47"/>
      <c r="D56" s="55"/>
      <c r="E56" s="55"/>
      <c r="F56" s="55"/>
      <c r="G56" s="56"/>
      <c r="H56" s="47"/>
      <c r="I56" s="57"/>
      <c r="J56" s="25"/>
      <c r="K56" s="25"/>
      <c r="L56" s="25"/>
    </row>
    <row r="57" spans="1:12">
      <c r="A57" s="19"/>
      <c r="B57" s="47"/>
      <c r="C57" s="47"/>
      <c r="D57" s="55"/>
      <c r="E57" s="55"/>
      <c r="F57" s="55"/>
      <c r="G57" s="56"/>
      <c r="H57" s="47"/>
      <c r="I57" s="57"/>
      <c r="J57" s="25"/>
      <c r="K57" s="25"/>
      <c r="L57" s="25"/>
    </row>
  </sheetData>
  <conditionalFormatting sqref="H6:I52">
    <cfRule type="cellIs" dxfId="4" priority="1" operator="lessThan">
      <formula>0</formula>
    </cfRule>
    <cfRule type="cellIs" dxfId="3" priority="2" operator="greaterThan">
      <formula>0</formula>
    </cfRule>
    <cfRule type="cellIs" dxfId="2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0FE0-F3E0-45B0-99C9-5F7FF175B8AB}">
  <sheetPr>
    <tabColor rgb="FFC00000"/>
  </sheetPr>
  <dimension ref="A1:B43"/>
  <sheetViews>
    <sheetView workbookViewId="0">
      <selection activeCell="C6" sqref="C6"/>
    </sheetView>
  </sheetViews>
  <sheetFormatPr baseColWidth="10" defaultRowHeight="15.75"/>
  <cols>
    <col min="1" max="1" width="9.140625" style="168" bestFit="1" customWidth="1"/>
    <col min="2" max="2" width="13.28515625" style="168" bestFit="1" customWidth="1"/>
  </cols>
  <sheetData>
    <row r="1" spans="1:2">
      <c r="A1" s="168" t="s">
        <v>31</v>
      </c>
      <c r="B1" s="168" t="s">
        <v>32</v>
      </c>
    </row>
    <row r="2" spans="1:2">
      <c r="A2" s="168" t="s">
        <v>5</v>
      </c>
      <c r="B2" s="168">
        <v>73879.740000000005</v>
      </c>
    </row>
    <row r="3" spans="1:2">
      <c r="A3" s="168" t="s">
        <v>15</v>
      </c>
      <c r="B3" s="168">
        <v>2012.39</v>
      </c>
    </row>
    <row r="4" spans="1:2">
      <c r="A4" s="168" t="s">
        <v>6</v>
      </c>
      <c r="B4" s="168">
        <v>82.5</v>
      </c>
    </row>
    <row r="5" spans="1:2">
      <c r="A5" s="168" t="s">
        <v>24</v>
      </c>
      <c r="B5" s="168">
        <v>709.73</v>
      </c>
    </row>
    <row r="6" spans="1:2">
      <c r="A6" s="168" t="s">
        <v>53</v>
      </c>
      <c r="B6" s="168">
        <v>564.92999999999995</v>
      </c>
    </row>
    <row r="7" spans="1:2">
      <c r="A7" s="168" t="s">
        <v>30</v>
      </c>
      <c r="B7" s="168">
        <v>1.3360000000000001</v>
      </c>
    </row>
    <row r="8" spans="1:2">
      <c r="A8" s="168" t="s">
        <v>33</v>
      </c>
      <c r="B8" s="168">
        <v>0.10050000000000001</v>
      </c>
    </row>
    <row r="9" spans="1:2">
      <c r="A9" s="168" t="s">
        <v>54</v>
      </c>
      <c r="B9" s="168">
        <v>5.9160000000000004</v>
      </c>
    </row>
    <row r="10" spans="1:2">
      <c r="A10" s="168" t="s">
        <v>46</v>
      </c>
      <c r="B10" s="168">
        <v>0.89739999999999998</v>
      </c>
    </row>
    <row r="11" spans="1:2">
      <c r="A11" s="168" t="s">
        <v>25</v>
      </c>
      <c r="B11" s="168">
        <v>256.69</v>
      </c>
    </row>
    <row r="12" spans="1:2">
      <c r="A12" s="168" t="s">
        <v>29</v>
      </c>
      <c r="B12" s="168">
        <v>0.23569999999999999</v>
      </c>
    </row>
    <row r="13" spans="1:2">
      <c r="A13" s="168" t="s">
        <v>21</v>
      </c>
      <c r="B13" s="168">
        <v>9.1649999999999991</v>
      </c>
    </row>
    <row r="14" spans="1:2">
      <c r="A14" s="168" t="s">
        <v>49</v>
      </c>
      <c r="B14" s="168">
        <v>8.9789999999999992</v>
      </c>
    </row>
    <row r="15" spans="1:2">
      <c r="A15" s="168" t="s">
        <v>55</v>
      </c>
      <c r="B15" s="168">
        <v>9.01E-2</v>
      </c>
    </row>
    <row r="16" spans="1:2">
      <c r="A16" s="168" t="s">
        <v>41</v>
      </c>
      <c r="B16" s="168">
        <v>0.72450000000000003</v>
      </c>
    </row>
    <row r="17" spans="1:2">
      <c r="A17" s="168" t="s">
        <v>50</v>
      </c>
      <c r="B17" s="168">
        <v>1.8010000000000001E-3</v>
      </c>
    </row>
    <row r="18" spans="1:2">
      <c r="A18" s="168" t="s">
        <v>56</v>
      </c>
      <c r="B18" s="168">
        <v>8.8389999999999996E-2</v>
      </c>
    </row>
    <row r="19" spans="1:2">
      <c r="A19" s="168" t="s">
        <v>20</v>
      </c>
      <c r="B19" s="168">
        <v>0.3493</v>
      </c>
    </row>
    <row r="20" spans="1:2">
      <c r="A20" s="168" t="s">
        <v>34</v>
      </c>
      <c r="B20" s="168">
        <v>2.3330000000000002</v>
      </c>
    </row>
    <row r="21" spans="1:2">
      <c r="A21" s="168" t="s">
        <v>28</v>
      </c>
      <c r="B21" s="168">
        <v>82.32</v>
      </c>
    </row>
    <row r="22" spans="1:2">
      <c r="A22" s="168" t="s">
        <v>51</v>
      </c>
      <c r="B22" s="168">
        <v>0.104</v>
      </c>
    </row>
    <row r="23" spans="1:2">
      <c r="A23" s="168" t="s">
        <v>45</v>
      </c>
      <c r="B23" s="168">
        <v>7.9459999999999999E-3</v>
      </c>
    </row>
    <row r="24" spans="1:2">
      <c r="A24" s="168" t="s">
        <v>47</v>
      </c>
      <c r="B24" s="168">
        <v>5.9310000000000002E-2</v>
      </c>
    </row>
    <row r="25" spans="1:2">
      <c r="A25" s="168" t="s">
        <v>48</v>
      </c>
      <c r="B25" s="168">
        <v>0.36370000000000002</v>
      </c>
    </row>
    <row r="26" spans="1:2">
      <c r="A26" s="168" t="s">
        <v>26</v>
      </c>
      <c r="B26" s="168">
        <v>1.9510000000000001</v>
      </c>
    </row>
    <row r="27" spans="1:2">
      <c r="A27" s="168" t="s">
        <v>27</v>
      </c>
      <c r="B27" s="168">
        <v>2.2469999999999999</v>
      </c>
    </row>
    <row r="28" spans="1:2">
      <c r="A28" s="168" t="s">
        <v>19</v>
      </c>
      <c r="B28" s="168">
        <v>0.4012</v>
      </c>
    </row>
    <row r="29" spans="1:2">
      <c r="A29" s="168" t="s">
        <v>22</v>
      </c>
      <c r="B29" s="168">
        <v>6.5609999999999999</v>
      </c>
    </row>
    <row r="30" spans="1:2">
      <c r="A30" s="168" t="s">
        <v>60</v>
      </c>
      <c r="B30" s="168">
        <v>0.26840000000000003</v>
      </c>
    </row>
    <row r="31" spans="1:2">
      <c r="A31" s="168" t="s">
        <v>40</v>
      </c>
      <c r="B31" s="168">
        <v>2.093</v>
      </c>
    </row>
    <row r="32" spans="1:2">
      <c r="A32" s="168" t="s">
        <v>39</v>
      </c>
      <c r="B32" s="168">
        <v>8.65</v>
      </c>
    </row>
    <row r="33" spans="1:2">
      <c r="A33" s="168" t="s">
        <v>37</v>
      </c>
      <c r="B33" s="168">
        <v>4.129E-2</v>
      </c>
    </row>
    <row r="34" spans="1:2">
      <c r="A34" s="168" t="s">
        <v>57</v>
      </c>
      <c r="B34" s="168">
        <v>1.191E-2</v>
      </c>
    </row>
    <row r="35" spans="1:2">
      <c r="A35" s="168" t="s">
        <v>18</v>
      </c>
      <c r="B35" s="168">
        <v>2.5999999999999999E-2</v>
      </c>
    </row>
    <row r="36" spans="1:2">
      <c r="A36" s="168" t="s">
        <v>58</v>
      </c>
      <c r="B36" s="168">
        <v>71.569999999999993</v>
      </c>
    </row>
    <row r="37" spans="1:2">
      <c r="A37" s="168" t="s">
        <v>36</v>
      </c>
      <c r="B37" s="168">
        <v>5.5010000000000003E-2</v>
      </c>
    </row>
    <row r="38" spans="1:2">
      <c r="A38" s="168" t="s">
        <v>23</v>
      </c>
      <c r="B38" s="168">
        <v>4.1109999999999998</v>
      </c>
    </row>
    <row r="39" spans="1:2">
      <c r="A39" s="168" t="s">
        <v>38</v>
      </c>
      <c r="B39" s="168">
        <v>0.87109999999999999</v>
      </c>
    </row>
    <row r="40" spans="1:2">
      <c r="A40" s="168" t="s">
        <v>59</v>
      </c>
      <c r="B40" s="168">
        <v>52.15</v>
      </c>
    </row>
    <row r="41" spans="1:2">
      <c r="A41" s="168" t="s">
        <v>52</v>
      </c>
      <c r="B41" s="168">
        <v>3.4300000000000002E-6</v>
      </c>
    </row>
    <row r="42" spans="1:2">
      <c r="A42" s="168" t="s">
        <v>61</v>
      </c>
      <c r="B42" s="168">
        <v>4.6360000000000004E-3</v>
      </c>
    </row>
    <row r="43" spans="1:2">
      <c r="A43" s="168" t="s">
        <v>62</v>
      </c>
      <c r="B43" s="168">
        <v>1.6299999999999999E-3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D0F4-68F9-49BD-94A9-86BE9BE734C9}">
  <sheetPr>
    <tabColor rgb="FF002060"/>
  </sheetPr>
  <dimension ref="B2:F38"/>
  <sheetViews>
    <sheetView topLeftCell="A22" zoomScale="110" zoomScaleNormal="110" workbookViewId="0">
      <selection activeCell="D17" sqref="D17"/>
    </sheetView>
  </sheetViews>
  <sheetFormatPr baseColWidth="10" defaultRowHeight="15"/>
  <cols>
    <col min="1" max="1" width="4.28515625" customWidth="1"/>
    <col min="2" max="2" width="15.85546875" customWidth="1"/>
    <col min="3" max="3" width="1.42578125" customWidth="1"/>
    <col min="4" max="4" width="21.5703125" customWidth="1"/>
    <col min="5" max="5" width="1.7109375" customWidth="1"/>
    <col min="6" max="6" width="16" customWidth="1"/>
  </cols>
  <sheetData>
    <row r="2" spans="2:6" ht="33.75" customHeight="1">
      <c r="B2" s="182" t="s">
        <v>10</v>
      </c>
      <c r="C2" s="183"/>
      <c r="D2" s="183"/>
      <c r="E2" s="154"/>
    </row>
    <row r="3" spans="2:6" ht="12" customHeight="1">
      <c r="B3" s="46"/>
      <c r="C3" s="46"/>
      <c r="D3" s="155"/>
      <c r="E3" s="154"/>
    </row>
    <row r="4" spans="2:6" ht="18.75">
      <c r="B4" s="156">
        <v>20300</v>
      </c>
      <c r="F4" s="157">
        <v>20300</v>
      </c>
    </row>
    <row r="5" spans="2:6" ht="18.75">
      <c r="B5" s="158">
        <v>5075</v>
      </c>
      <c r="F5" s="157">
        <v>5100</v>
      </c>
    </row>
    <row r="6" spans="2:6" ht="18.75" customHeight="1">
      <c r="B6" s="158">
        <v>5075</v>
      </c>
      <c r="D6" s="159" t="s">
        <v>42</v>
      </c>
      <c r="F6" s="157">
        <v>6100</v>
      </c>
    </row>
    <row r="7" spans="2:6" ht="21">
      <c r="B7" s="158">
        <v>15225</v>
      </c>
      <c r="D7" s="160">
        <f>SUM(B4:B103)</f>
        <v>412770</v>
      </c>
      <c r="F7" s="157">
        <v>7050</v>
      </c>
    </row>
    <row r="8" spans="2:6" ht="18.75">
      <c r="B8" s="158">
        <v>15225</v>
      </c>
      <c r="F8" s="161">
        <v>5000</v>
      </c>
    </row>
    <row r="9" spans="2:6" ht="18.75" customHeight="1">
      <c r="B9" s="158">
        <v>20300</v>
      </c>
      <c r="F9" s="157">
        <v>10150</v>
      </c>
    </row>
    <row r="10" spans="2:6" ht="18.75">
      <c r="B10" s="158">
        <v>21315</v>
      </c>
      <c r="D10" s="162" t="s">
        <v>44</v>
      </c>
      <c r="F10" s="157">
        <v>5100</v>
      </c>
    </row>
    <row r="11" spans="2:6" ht="21">
      <c r="B11" s="158">
        <v>10660</v>
      </c>
      <c r="D11" s="163">
        <f>SUM(F4:F19)</f>
        <v>79650</v>
      </c>
      <c r="F11" s="157">
        <v>3050</v>
      </c>
    </row>
    <row r="12" spans="2:6" ht="18.75">
      <c r="B12" s="156">
        <v>14750</v>
      </c>
      <c r="F12" s="157">
        <v>6600</v>
      </c>
    </row>
    <row r="13" spans="2:6" ht="18.75">
      <c r="B13" s="156">
        <v>10620</v>
      </c>
      <c r="F13" s="157">
        <v>6100</v>
      </c>
    </row>
    <row r="14" spans="2:6" ht="18.75">
      <c r="B14" s="156">
        <v>10600</v>
      </c>
      <c r="D14" s="164" t="s">
        <v>43</v>
      </c>
      <c r="F14" s="157">
        <v>5100</v>
      </c>
    </row>
    <row r="15" spans="2:6" ht="21">
      <c r="B15" s="156">
        <v>8000</v>
      </c>
      <c r="D15" s="163">
        <f>SUM(D7+D11)</f>
        <v>492420</v>
      </c>
      <c r="F15" s="157"/>
    </row>
    <row r="16" spans="2:6" ht="18.75">
      <c r="B16" s="156">
        <v>5100</v>
      </c>
      <c r="F16" s="157"/>
    </row>
    <row r="17" spans="2:6" ht="18.75">
      <c r="B17" s="156">
        <v>12200</v>
      </c>
      <c r="F17" s="157"/>
    </row>
    <row r="18" spans="2:6" ht="18.75">
      <c r="B18" s="156">
        <v>9700</v>
      </c>
      <c r="F18" s="157"/>
    </row>
    <row r="19" spans="2:6" ht="18.75">
      <c r="B19" s="156">
        <v>5100</v>
      </c>
      <c r="F19" s="157"/>
    </row>
    <row r="20" spans="2:6" ht="18.75">
      <c r="B20" s="156">
        <v>5100</v>
      </c>
      <c r="F20" s="157"/>
    </row>
    <row r="21" spans="2:6" ht="18.75">
      <c r="B21" s="156">
        <v>5100</v>
      </c>
      <c r="F21" s="157"/>
    </row>
    <row r="22" spans="2:6" ht="18.75">
      <c r="B22" s="156">
        <v>10100</v>
      </c>
      <c r="F22" s="157"/>
    </row>
    <row r="23" spans="2:6" ht="18.75">
      <c r="B23" s="156">
        <v>3100</v>
      </c>
      <c r="F23" s="157"/>
    </row>
    <row r="24" spans="2:6" ht="18.75">
      <c r="B24" s="156">
        <v>5100</v>
      </c>
      <c r="F24" s="157"/>
    </row>
    <row r="25" spans="2:6" ht="18.75">
      <c r="B25" s="156">
        <v>11200</v>
      </c>
      <c r="F25" s="157"/>
    </row>
    <row r="26" spans="2:6" ht="18.75">
      <c r="B26" s="156">
        <v>5100</v>
      </c>
      <c r="F26" s="157"/>
    </row>
    <row r="27" spans="2:6" ht="18.75">
      <c r="B27" s="156">
        <v>5100</v>
      </c>
      <c r="F27" s="157"/>
    </row>
    <row r="28" spans="2:6" ht="18.75">
      <c r="B28" s="156">
        <v>9200</v>
      </c>
      <c r="F28" s="157"/>
    </row>
    <row r="29" spans="2:6" ht="18.75">
      <c r="B29" s="156">
        <v>15500</v>
      </c>
      <c r="F29" s="157"/>
    </row>
    <row r="30" spans="2:6" ht="18.75">
      <c r="B30" s="156">
        <v>5100</v>
      </c>
      <c r="F30" s="157"/>
    </row>
    <row r="31" spans="2:6" ht="18.75">
      <c r="B31" s="156">
        <v>4600</v>
      </c>
      <c r="F31" s="157"/>
    </row>
    <row r="32" spans="2:6" ht="18.75">
      <c r="B32" s="156">
        <v>15250</v>
      </c>
      <c r="F32" s="157"/>
    </row>
    <row r="33" spans="2:2" ht="18.75">
      <c r="B33" s="156">
        <v>14750</v>
      </c>
    </row>
    <row r="34" spans="2:2" ht="18.75">
      <c r="B34" s="156">
        <v>15250</v>
      </c>
    </row>
    <row r="35" spans="2:2" ht="18.75">
      <c r="B35" s="156">
        <v>10200</v>
      </c>
    </row>
    <row r="36" spans="2:2" ht="18.75">
      <c r="B36" s="156">
        <v>39100</v>
      </c>
    </row>
    <row r="37" spans="2:2" ht="18.75">
      <c r="B37" s="156">
        <v>44675</v>
      </c>
    </row>
    <row r="38" spans="2:2" ht="18.75">
      <c r="B38" s="156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C9FC9-3E37-4753-9F96-AD27F7A00F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BDD</vt:lpstr>
      <vt:lpstr>T.BORD</vt:lpstr>
      <vt:lpstr>pricemulti_fsyms=BTC,ETH,SO (2)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Lousoph</dc:creator>
  <cp:lastModifiedBy>Fallou Sow</cp:lastModifiedBy>
  <dcterms:created xsi:type="dcterms:W3CDTF">2023-10-28T11:29:00Z</dcterms:created>
  <dcterms:modified xsi:type="dcterms:W3CDTF">2026-05-31T19:40:53Z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5216843828B142D2AFABD68B2F2678D8_12</vt:lpwstr>
  </property>
  <property fmtid="{D5CDD505-2E9C-101B-9397-08002B2CF9AE}" pid="3" name="KSOProductBuildVer">
    <vt:lpwstr>1033-12.2.0.13489</vt:lpwstr>
  </property>
</Properties>
</file>